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enrique\Documents\Python\Viagem\"/>
    </mc:Choice>
  </mc:AlternateContent>
  <xr:revisionPtr revIDLastSave="0" documentId="13_ncr:1_{5695D17D-D5D9-4F58-B213-79384801CA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s da Viagem" sheetId="1" r:id="rId1"/>
    <sheet name="Roteiro 5 Dias" sheetId="2" r:id="rId2"/>
    <sheet name="Links e Reservas" sheetId="3" r:id="rId3"/>
    <sheet name="Louvre Grátis" sheetId="4" r:id="rId4"/>
    <sheet name="Resumo e Dicas" sheetId="5" r:id="rId5"/>
  </sheets>
  <definedNames>
    <definedName name="CambioEUR">'Custos da Viagem'!$G3</definedName>
  </definedNames>
  <calcPr calcId="191029"/>
</workbook>
</file>

<file path=xl/calcChain.xml><?xml version="1.0" encoding="utf-8"?>
<calcChain xmlns="http://schemas.openxmlformats.org/spreadsheetml/2006/main">
  <c r="B27" i="5" l="1"/>
  <c r="I29" i="1"/>
  <c r="H27" i="1"/>
  <c r="G27" i="1"/>
  <c r="F27" i="1"/>
  <c r="G26" i="1"/>
  <c r="H26" i="1" s="1"/>
  <c r="F26" i="1"/>
  <c r="G25" i="1"/>
  <c r="F25" i="1"/>
  <c r="H25" i="1" s="1"/>
  <c r="G24" i="1"/>
  <c r="F24" i="1"/>
  <c r="H24" i="1" s="1"/>
  <c r="H23" i="1"/>
  <c r="G23" i="1"/>
  <c r="F23" i="1"/>
  <c r="G22" i="1"/>
  <c r="H22" i="1" s="1"/>
  <c r="F22" i="1"/>
  <c r="G21" i="1"/>
  <c r="F21" i="1"/>
  <c r="H21" i="1" s="1"/>
  <c r="G20" i="1"/>
  <c r="F20" i="1"/>
  <c r="H20" i="1" s="1"/>
  <c r="H19" i="1"/>
  <c r="G19" i="1"/>
  <c r="F19" i="1"/>
  <c r="G18" i="1"/>
  <c r="H18" i="1" s="1"/>
  <c r="F18" i="1"/>
  <c r="G17" i="1"/>
  <c r="F17" i="1"/>
  <c r="H17" i="1" s="1"/>
  <c r="G16" i="1"/>
  <c r="F16" i="1"/>
  <c r="H16" i="1" s="1"/>
  <c r="H15" i="1"/>
  <c r="G15" i="1"/>
  <c r="F15" i="1"/>
  <c r="G14" i="1"/>
  <c r="H14" i="1" s="1"/>
  <c r="F14" i="1"/>
  <c r="G13" i="1"/>
  <c r="F13" i="1"/>
  <c r="H13" i="1" s="1"/>
  <c r="G12" i="1"/>
  <c r="F12" i="1"/>
  <c r="H12" i="1" s="1"/>
  <c r="H11" i="1"/>
  <c r="G11" i="1"/>
  <c r="F11" i="1"/>
  <c r="G10" i="1"/>
  <c r="H10" i="1" s="1"/>
  <c r="F10" i="1"/>
  <c r="G9" i="1"/>
  <c r="F9" i="1"/>
  <c r="H9" i="1" s="1"/>
  <c r="G8" i="1"/>
  <c r="F8" i="1"/>
  <c r="H8" i="1" s="1"/>
  <c r="H7" i="1"/>
  <c r="G7" i="1"/>
  <c r="F7" i="1"/>
  <c r="G6" i="1"/>
  <c r="H6" i="1" s="1"/>
  <c r="F6" i="1"/>
  <c r="G5" i="1"/>
  <c r="F5" i="1"/>
  <c r="H5" i="1" s="1"/>
  <c r="H29" i="1" s="1"/>
  <c r="B29" i="5" s="1"/>
  <c r="F29" i="1" l="1"/>
  <c r="F30" i="1" l="1"/>
  <c r="B28" i="5"/>
</calcChain>
</file>

<file path=xl/sharedStrings.xml><?xml version="1.0" encoding="utf-8"?>
<sst xmlns="http://schemas.openxmlformats.org/spreadsheetml/2006/main" count="534" uniqueCount="355">
  <si>
    <t>PLANEJAMENTO DE CUSTOS — VIAGEM A PARIS</t>
  </si>
  <si>
    <t>Preencha quantidade e valor unitário. Altere o câmbio global na célula G3.</t>
  </si>
  <si>
    <t>Câmbio global (€→R$):</t>
  </si>
  <si>
    <t>Categoria</t>
  </si>
  <si>
    <t>Item / Descrição</t>
  </si>
  <si>
    <t>Qtd. pessoas</t>
  </si>
  <si>
    <t>Qtd. / dias</t>
  </si>
  <si>
    <t>Valor unit. (€)</t>
  </si>
  <si>
    <t>Total estimado (€)</t>
  </si>
  <si>
    <t>Câmbio (€→R$)</t>
  </si>
  <si>
    <t>Total estimado (R$)</t>
  </si>
  <si>
    <t>Valor real pago (R$)</t>
  </si>
  <si>
    <t>Observações</t>
  </si>
  <si>
    <t>Link / Reserva</t>
  </si>
  <si>
    <t>Transporte</t>
  </si>
  <si>
    <t>Passagem aérea (ida e volta)</t>
  </si>
  <si>
    <t>Comprar com antecedência; preços variam muito por temporada</t>
  </si>
  <si>
    <t>Comparar voos</t>
  </si>
  <si>
    <t>Passe Navigo semanal (zonas 1–5)</t>
  </si>
  <si>
    <t>Válido de segunda a domingo; inclui metrô, RER, ônibus e Disney</t>
  </si>
  <si>
    <t>Navigo semanal</t>
  </si>
  <si>
    <t>Cartão Navigo Découverte (taxa única)</t>
  </si>
  <si>
    <t>Obrigatório para carregar o passe; traga foto 3×4</t>
  </si>
  <si>
    <t>Navigo Découverte</t>
  </si>
  <si>
    <t>Transfer aeroporto (alternativa ao Navigo)</t>
  </si>
  <si>
    <t>Bilhete aeroporto CDG/Orly, se não usar Navigo na chegada</t>
  </si>
  <si>
    <t>Bilhete aeroporto</t>
  </si>
  <si>
    <t>Hospedagem</t>
  </si>
  <si>
    <t>Hotel / Airbnb (por noite)</t>
  </si>
  <si>
    <t>4 noites (chegada dia 1, saída manhã dia 5)</t>
  </si>
  <si>
    <t>Taxa de limpeza / city tax</t>
  </si>
  <si>
    <t>Verificar no anúncio do hotel</t>
  </si>
  <si>
    <t>Alimentação</t>
  </si>
  <si>
    <t>Café da manhã (por dia)</t>
  </si>
  <si>
    <t>Padaria ou café; ~€8–15/dia</t>
  </si>
  <si>
    <t>Almoço (por dia)</t>
  </si>
  <si>
    <t>Bistro ou menu do dia; ~€12–20</t>
  </si>
  <si>
    <t>Jantar (por dia)</t>
  </si>
  <si>
    <t>Restaurante médio; ~€15–35</t>
  </si>
  <si>
    <t>Lanches / mercado / água</t>
  </si>
  <si>
    <t>Supermercado Carrefour, Monoprix etc.</t>
  </si>
  <si>
    <t>Atrações</t>
  </si>
  <si>
    <t>Disneyland Paris — 1 dia, 1 parque</t>
  </si>
  <si>
    <t>Preço dinâmico: €62–130+ conforme data</t>
  </si>
  <si>
    <t>Comprar ingresso</t>
  </si>
  <si>
    <t>Disneyland Paris — 1 dia, 2 parques (Park Hopper)</t>
  </si>
  <si>
    <t>Acesso aos dois parques no mesmo dia</t>
  </si>
  <si>
    <t>Comprar Park Hopper</t>
  </si>
  <si>
    <t>Torre Eiffel — 2º andar (elevador)</t>
  </si>
  <si>
    <t>Adulto; reserva online obrigatória</t>
  </si>
  <si>
    <t>Reservar</t>
  </si>
  <si>
    <t>Torre Eiffel — topo (elevador)</t>
  </si>
  <si>
    <t>Adulto; opção mais completa</t>
  </si>
  <si>
    <t>Reservar topo</t>
  </si>
  <si>
    <t>Torre Eiffel — escadas 2º + elevador topo</t>
  </si>
  <si>
    <t>Melhor custo-benefício para subir ao topo</t>
  </si>
  <si>
    <t>Reservar combo</t>
  </si>
  <si>
    <t>Arco do Triunfo — ingresso</t>
  </si>
  <si>
    <t>€16 (out–mar) ou €22 (abr–set); quartas €16 na alta</t>
  </si>
  <si>
    <t>Louvre — ingresso pago</t>
  </si>
  <si>
    <t>Adulto ~€22; veja aba 'Louvre Grátis' para dias gratuitos</t>
  </si>
  <si>
    <t>Reservar Louvre</t>
  </si>
  <si>
    <t>Musée d'Orsay (opcional)</t>
  </si>
  <si>
    <t>Grátis 1º domingo do mês (out–mar)</t>
  </si>
  <si>
    <t>Reservar d'Orsay</t>
  </si>
  <si>
    <t>Versailles (opcional)</t>
  </si>
  <si>
    <t>Palácio; RER C incluído no Navigo</t>
  </si>
  <si>
    <t>Reservar Versailles</t>
  </si>
  <si>
    <t>Extras</t>
  </si>
  <si>
    <t>Seguro viagem</t>
  </si>
  <si>
    <t>Recomendado; cotar em reais</t>
  </si>
  <si>
    <t>Chip / eSIM internet</t>
  </si>
  <si>
    <t>Comparar Airalo, Holafly etc.</t>
  </si>
  <si>
    <t>eSIM Airalo</t>
  </si>
  <si>
    <t>Souvenirs / compras</t>
  </si>
  <si>
    <t>Orçamento livre</t>
  </si>
  <si>
    <t>Gorjetas / imprevistos</t>
  </si>
  <si>
    <t>Reserva de emergência em euros</t>
  </si>
  <si>
    <t>TOTAIS</t>
  </si>
  <si>
    <t>Por pessoa (EUR)</t>
  </si>
  <si>
    <t>ROTEIRO DE 5 DIAS — PARIS</t>
  </si>
  <si>
    <t>Modelo: chegada Segunda (Dia 1) → saída Sexta de manhã (Dia 5). Ajuste datas na coluna B. Links clicáveis na coluna G.</t>
  </si>
  <si>
    <t>Horário</t>
  </si>
  <si>
    <t>Data (editável)</t>
  </si>
  <si>
    <t>Atividade</t>
  </si>
  <si>
    <t>Bairro / local</t>
  </si>
  <si>
    <t>Custo previsto (€)</t>
  </si>
  <si>
    <t>DIA 1 — Chegada e Paris Clássico (Centro)</t>
  </si>
  <si>
    <t>Segunda-feira | Aclimatação leve após o voo</t>
  </si>
  <si>
    <t>Manhã</t>
  </si>
  <si>
    <t>__/__/____</t>
  </si>
  <si>
    <t>Chegada CDG/Orly → hotel (check-in ou deixar bagagem)</t>
  </si>
  <si>
    <t>Aeroporto → hotel</t>
  </si>
  <si>
    <t>RER B ou Navigo*</t>
  </si>
  <si>
    <t>0 / 14*</t>
  </si>
  <si>
    <t>11h–13h</t>
  </si>
  <si>
    <t>Passeio pelo bairro do hotel + almoço</t>
  </si>
  <si>
    <t>Marais / Saint-Germain</t>
  </si>
  <si>
    <t>A pé / metrô</t>
  </si>
  <si>
    <t>15</t>
  </si>
  <si>
    <t>14h–16h</t>
  </si>
  <si>
    <t>Notre-Dame (exterior) + Île de la Cité + Sainte-Chapelle (opcional €16)</t>
  </si>
  <si>
    <t>Île de la Cité</t>
  </si>
  <si>
    <t>Metrô 4</t>
  </si>
  <si>
    <t>0–16</t>
  </si>
  <si>
    <t>Notre-Dame + Sainte-Chapelle</t>
  </si>
  <si>
    <t>16h30–18h</t>
  </si>
  <si>
    <t>Seine — passeio a pé até Pont Neuf e Louvre (exterior)</t>
  </si>
  <si>
    <t>1º arrondissement</t>
  </si>
  <si>
    <t>A pé</t>
  </si>
  <si>
    <t>0</t>
  </si>
  <si>
    <t>Info Louvre</t>
  </si>
  <si>
    <t>19h–21h</t>
  </si>
  <si>
    <t>Jantar + descanso</t>
  </si>
  <si>
    <t>Bistro perto do hotel</t>
  </si>
  <si>
    <t>Metrô</t>
  </si>
  <si>
    <t>20–35</t>
  </si>
  <si>
    <t>DIA 2 — Louvre, Jardins e Torre Eiffel</t>
  </si>
  <si>
    <t>Terça-feira | Dia mais icônico de Paris</t>
  </si>
  <si>
    <t>08h30</t>
  </si>
  <si>
    <t>Café da manhã + comprar pão/croissant na padaria</t>
  </si>
  <si>
    <t>Perto do hotel</t>
  </si>
  <si>
    <t>8</t>
  </si>
  <si>
    <t>09h30–13h</t>
  </si>
  <si>
    <t>Museu do Louvre (reservar horário!) — foco: Mona Lisa, Vênus de Milo, Denon</t>
  </si>
  <si>
    <t>Louvre</t>
  </si>
  <si>
    <t>Metrô 1 / 7</t>
  </si>
  <si>
    <t>22*</t>
  </si>
  <si>
    <t>13h–14h</t>
  </si>
  <si>
    <t>Almoço no Carrousel du Louvre ou Tuileries</t>
  </si>
  <si>
    <t>1º arr.</t>
  </si>
  <si>
    <t>14h30–16h</t>
  </si>
  <si>
    <t>Jardim das Tuileries + Place de la Concorde</t>
  </si>
  <si>
    <t>Tuileries</t>
  </si>
  <si>
    <t>16h30–18h30</t>
  </si>
  <si>
    <t>Torre Eiffel — subir ao topo (reserva online)</t>
  </si>
  <si>
    <t>7º arr.</t>
  </si>
  <si>
    <t>Metrô 6 / RER C</t>
  </si>
  <si>
    <t>28–37</t>
  </si>
  <si>
    <t>Reservar Torre</t>
  </si>
  <si>
    <t>Pôr do sol no Trocadéro + jantar</t>
  </si>
  <si>
    <t>16º arr.</t>
  </si>
  <si>
    <t>Metrô 6</t>
  </si>
  <si>
    <t>25</t>
  </si>
  <si>
    <t>DIA 3 — Arco do Triunfo, Champs-Élysées e Montmartre</t>
  </si>
  <si>
    <t>Quarta-feira | Se for abr–set, Arco €16 (quarta promocional)</t>
  </si>
  <si>
    <t>09h</t>
  </si>
  <si>
    <t>Café da manhã</t>
  </si>
  <si>
    <t>Hotel</t>
  </si>
  <si>
    <t>—</t>
  </si>
  <si>
    <t>09h30–11h</t>
  </si>
  <si>
    <t>Arco do Triunfo — subir ao terraço (vista dos 12 avenidas)</t>
  </si>
  <si>
    <t>8º arr.</t>
  </si>
  <si>
    <t>Metrô 1 / 2 / 6</t>
  </si>
  <si>
    <t>16–22</t>
  </si>
  <si>
    <t>Reservar Arco</t>
  </si>
  <si>
    <t>Champs-Élysées a pé até Place de la Concorde</t>
  </si>
  <si>
    <t>Almoço — menu do dia em bistro</t>
  </si>
  <si>
    <t>Madeleine / Opéra</t>
  </si>
  <si>
    <t>Galerias Lafayette ou Printemps (opcional, vistas do terraço grátis)</t>
  </si>
  <si>
    <t>9º arr.</t>
  </si>
  <si>
    <t>Metrô 7 / 9</t>
  </si>
  <si>
    <t>Galerias Lafayette</t>
  </si>
  <si>
    <t>16h30–19h</t>
  </si>
  <si>
    <t>Montmartre: Sacré-Cœur, Place du Tertre, Moulin Rouge (exterior)</t>
  </si>
  <si>
    <t>18º arr.</t>
  </si>
  <si>
    <t>Metrô 2 / 12</t>
  </si>
  <si>
    <t>19h30</t>
  </si>
  <si>
    <t>Jantar em Montmartre ou volta ao hotel</t>
  </si>
  <si>
    <t>Montmartre</t>
  </si>
  <si>
    <t>DIA 4 — Disneyland Paris (dia inteiro)</t>
  </si>
  <si>
    <t>Quinta-feira | Saia cedo — parque abre ~9h30</t>
  </si>
  <si>
    <t>07h30</t>
  </si>
  <si>
    <t>Café rápido + lanche para levar</t>
  </si>
  <si>
    <t>08h00</t>
  </si>
  <si>
    <t>RER A → Marne-la-Vallée (Chessy) — ~45 min</t>
  </si>
  <si>
    <t>Disney</t>
  </si>
  <si>
    <t>RER A (Navigo)</t>
  </si>
  <si>
    <t>0**</t>
  </si>
  <si>
    <t>Mapa RER A</t>
  </si>
  <si>
    <t>Disneyland Park — manhã: Big Thunder, Phantom Manor, Pirates</t>
  </si>
  <si>
    <t>Parque 1</t>
  </si>
  <si>
    <t>75–110***</t>
  </si>
  <si>
    <t>Almoço dentro do parque (ou lanche)</t>
  </si>
  <si>
    <t>15–25</t>
  </si>
  <si>
    <t>Calendário parque</t>
  </si>
  <si>
    <t>14h–17h</t>
  </si>
  <si>
    <t>Walt Disney Studios (se Park Hopper) ou continuar Parque 1</t>
  </si>
  <si>
    <t>Parque 2 / 1</t>
  </si>
  <si>
    <t>incl.***</t>
  </si>
  <si>
    <t>17h–20h</t>
  </si>
  <si>
    <t>Desfile / show + jantar no parque</t>
  </si>
  <si>
    <t>20–30</t>
  </si>
  <si>
    <t>21h</t>
  </si>
  <si>
    <t>Retorno a Paris (RER A)</t>
  </si>
  <si>
    <t>RER A</t>
  </si>
  <si>
    <t>DIA 5 — Últimas compras e partida</t>
  </si>
  <si>
    <t>Sexta-feira | Check-out de manhã, voo à tarde/noite</t>
  </si>
  <si>
    <t>08h</t>
  </si>
  <si>
    <t>Check-out + guardar bagagem no hotel (se permitido)</t>
  </si>
  <si>
    <t>08h30–10h30</t>
  </si>
  <si>
    <t>Marché ou padaria + últimas compras (Le Marais ou Saint-Germain)</t>
  </si>
  <si>
    <t>4º / 6º arr.</t>
  </si>
  <si>
    <t>10–30</t>
  </si>
  <si>
    <t>10h30–12h</t>
  </si>
  <si>
    <t>Musée d'Orsay (opcional) OU passeio livre pelo Sena</t>
  </si>
  <si>
    <t>RER C / metrô</t>
  </si>
  <si>
    <t>12h–13h30</t>
  </si>
  <si>
    <t>Almoço de despedida</t>
  </si>
  <si>
    <t>14h</t>
  </si>
  <si>
    <t>Retorno ao hotel → pegar bagagem</t>
  </si>
  <si>
    <t>15h–16h</t>
  </si>
  <si>
    <t>Transfer para aeroporto (CDG ~1h / Orly ~45 min)</t>
  </si>
  <si>
    <t>Aeroporto</t>
  </si>
  <si>
    <t>RER B / Navigo</t>
  </si>
  <si>
    <t>NOTAS DO ROTEIRO</t>
  </si>
  <si>
    <t>* Navigo semanal (€32,40): se a viagem cair segunda–domingo, cobre aeroporto, Disney e todo o transporte.</t>
  </si>
  <si>
    <t>** Disney incluído no Navigo (RER A até Marne-la-Vallée). Shuttle VEA Disney NÃO está incluso.</t>
  </si>
  <si>
    <t>*** Ingresso Disney: reserve com antecedência; 1 parque ~€75 ou 2 parques (Hopper) ~€110 (preços dinâmicos).</t>
  </si>
  <si>
    <t>* Louvre €22 — GRÁTIS na 1ª sexta do mês (18h–21h45), exceto jul/ago. Veja aba 'Louvre Grátis'.</t>
  </si>
  <si>
    <t>Arco do Triunfo: gratuito no 1º domingo nov–mar. Se coincidir, encaixe no Dia 3 ou 5.</t>
  </si>
  <si>
    <t>Todos os links oficiais estão na aba 'Links e Reservas' e na coluna G acima.</t>
  </si>
  <si>
    <t>Dica jet lag: Dia 1 propositalmente leve. Não empilhe Disney + Louvre no mesmo dia.</t>
  </si>
  <si>
    <t>LINKS OFICIAIS — RESERVAS E INGRESSOS</t>
  </si>
  <si>
    <t>Clique nos links azul sublinhado. Use sempre os sites oficiais para evitar fraudes.</t>
  </si>
  <si>
    <t>Atração / serviço</t>
  </si>
  <si>
    <t>Link (clique)</t>
  </si>
  <si>
    <t>Como agendar</t>
  </si>
  <si>
    <t>Antecedência recomendada</t>
  </si>
  <si>
    <t>Navigo semanal (zonas 1–5)</t>
  </si>
  <si>
    <t>Abrir site oficial</t>
  </si>
  <si>
    <t>Compre em estação (a partir de sexta p/ semana seguinte) ou app Île-de-France Mobilités</t>
  </si>
  <si>
    <t>Válido seg–dom; carregue no cartão Navigo Découverte ou celular</t>
  </si>
  <si>
    <t>Cartão Navigo Découverte</t>
  </si>
  <si>
    <t>Compre em guichês de metrô/RER; leve foto 3×4 e documento</t>
  </si>
  <si>
    <t>No dia — necessário antes de carregar o passe semanal</t>
  </si>
  <si>
    <t>Bilhete aeroporto (CDG/Orly)</t>
  </si>
  <si>
    <t>Máquinas na estação ou app Bonjour RATP / IDF Mobilités</t>
  </si>
  <si>
    <t>No dia; Navigo semanal já inclui se cobrir a semana</t>
  </si>
  <si>
    <t>Museus</t>
  </si>
  <si>
    <t>Louvre — ingressos oficiais</t>
  </si>
  <si>
    <t>Site oficial → escolha data, horário e tipo de ingresso (pago ou gratuito)</t>
  </si>
  <si>
    <t>Semanas antes; jul–ago 2026 reserva obrigatória; sextas grátis: poucos dias antes</t>
  </si>
  <si>
    <t>Louvre — horários e preços</t>
  </si>
  <si>
    <t>Consulta de horários, preços e dias de entrada gratuita</t>
  </si>
  <si>
    <t>Fechado às terças</t>
  </si>
  <si>
    <t>Musée d'Orsay</t>
  </si>
  <si>
    <t>Bilhetes online com horário marcado</t>
  </si>
  <si>
    <t>Grátis 1º domingo out–mar; reserve online mesmo quando grátis</t>
  </si>
  <si>
    <t>Monumentos</t>
  </si>
  <si>
    <t>Torre Eiffel — bilhetes oficiais</t>
  </si>
  <si>
    <t>Escolha data, horário, andar (2º ou topo) e elevador/escadas</t>
  </si>
  <si>
    <t>Até 60 dias antes (elevador) ou 30 dias (escadas); esgota rápido</t>
  </si>
  <si>
    <t>Torre Eiffel — preços e horários</t>
  </si>
  <si>
    <t>Referência de tarifas e calendário de abertura</t>
  </si>
  <si>
    <t>Consulta antes de comprar</t>
  </si>
  <si>
    <t>Arco do Triunfo</t>
  </si>
  <si>
    <t>Bilheteria online Centre des Monuments Nationaux</t>
  </si>
  <si>
    <t>Grátis 1º domingo nov–mar; quartas abr–set têm preço reduzido</t>
  </si>
  <si>
    <t>Sainte-Chapelle</t>
  </si>
  <si>
    <t>Ingresso com horário via Monuments Nationaux</t>
  </si>
  <si>
    <t>Combine com Notre-Dame (exterior) no Dia 1</t>
  </si>
  <si>
    <t>Palácio de Versailles</t>
  </si>
  <si>
    <t>Ingressos palácio e jardins no site oficial</t>
  </si>
  <si>
    <t>RER C incluso no Navigo; jardins grátis certos dias</t>
  </si>
  <si>
    <t>Parques</t>
  </si>
  <si>
    <t>Disneyland Paris — ingressos</t>
  </si>
  <si>
    <t>Escolha data, nº de dias e parques (1 ou 2 com Park Hopper)</t>
  </si>
  <si>
    <t>Compre cedo; preço dinâmico (€62–130+); RER A incluso no Navigo</t>
  </si>
  <si>
    <t>Disneyland — horários do parque</t>
  </si>
  <si>
    <t>Calendário de abertura, horários e temporada</t>
  </si>
  <si>
    <t>Confira antes do Dia 4 do roteiro</t>
  </si>
  <si>
    <t>RER A — Paris ↔ Disney (Marne-la-Vallée)</t>
  </si>
  <si>
    <t>Incluso no Navigo semanal; saia cedo (~45 min de viagem)</t>
  </si>
  <si>
    <t>Estação terminus: Marne-la-Vallée—Chessy</t>
  </si>
  <si>
    <t>Utilidades</t>
  </si>
  <si>
    <t>Notre-Dame de Paris (visita)</t>
  </si>
  <si>
    <t>Reserva gratuita online para entrar na catedral</t>
  </si>
  <si>
    <t>Reaberta; reserve horário no site oficial</t>
  </si>
  <si>
    <t>eSIM / chip de internet</t>
  </si>
  <si>
    <t>Compre online antes da viagem; ative ao chegar</t>
  </si>
  <si>
    <t>Alternativas: Holafly, Orange Holiday</t>
  </si>
  <si>
    <t>Atenção: evite sites espelho ou vendedores na rua. Louvre, Torre Eiffel e Disney só vendem ingressos válidos pelos sites oficiais listados acima.</t>
  </si>
  <si>
    <t>MUSEU DO LOUVRE — ENTRADA GRATUITA</t>
  </si>
  <si>
    <t>Links:</t>
  </si>
  <si>
    <t>Reservar ingresso</t>
  </si>
  <si>
    <t>Horários e preços</t>
  </si>
  <si>
    <t>IMPORTANTE: Não é grátis no 1º domingo (política encerrada).
Reserva online OBRIGATÓRIA, mesmo nos dias grátis.
Grátis para TODOS:
• 1ª sexta do mês, 18h–21h45 (exc. jul/ago)
• 14/07 — Bastilha (se aberto)</t>
  </si>
  <si>
    <t>Grátis o ano todo (com documento):
• Menores de 18 anos
• EEE menores de 26 anos
• PCD + acompanhante
Ingresso pago: ~€22 adulto</t>
  </si>
  <si>
    <t>Data</t>
  </si>
  <si>
    <t>Dia</t>
  </si>
  <si>
    <t>Observação</t>
  </si>
  <si>
    <t>02/01/2026</t>
  </si>
  <si>
    <t>Sexta</t>
  </si>
  <si>
    <t>18h–21h45</t>
  </si>
  <si>
    <t>1ª sexta do mês</t>
  </si>
  <si>
    <t>06/02/2026</t>
  </si>
  <si>
    <t>06/03/2026</t>
  </si>
  <si>
    <t>03/04/2026</t>
  </si>
  <si>
    <t>Maio: fechado 01/05 (Dia do Trabalho)</t>
  </si>
  <si>
    <t>05/06/2026</t>
  </si>
  <si>
    <t>Última sexta grátis antes do verão</t>
  </si>
  <si>
    <t>Julho e agosto: sem entrada gratuita</t>
  </si>
  <si>
    <t>04/09/2026</t>
  </si>
  <si>
    <t>Retorno após pausa de verão</t>
  </si>
  <si>
    <t>02/10/2026</t>
  </si>
  <si>
    <t>06/11/2026</t>
  </si>
  <si>
    <t>04/12/2026</t>
  </si>
  <si>
    <t>Última do ano</t>
  </si>
  <si>
    <t>14/07/2026</t>
  </si>
  <si>
    <t>Terça</t>
  </si>
  <si>
    <t>Horário normal</t>
  </si>
  <si>
    <t>Bastilha — museu FECHADO às terças</t>
  </si>
  <si>
    <t>Dica: Arco do Triunfo e Musée d'Orsay grátis no 1º domingo (nov–mar / out–mar). Use os links da linha 2.</t>
  </si>
  <si>
    <t>REFERÊNCIA RÁPIDA DE PREÇOS (2026)</t>
  </si>
  <si>
    <t>Item</t>
  </si>
  <si>
    <t>Preço adulto (€)</t>
  </si>
  <si>
    <t>Link oficial</t>
  </si>
  <si>
    <t>32,40</t>
  </si>
  <si>
    <t>iledefrance-mobilites.fr</t>
  </si>
  <si>
    <t>5,00</t>
  </si>
  <si>
    <t>Disneyland — 1 dia, 1 parque</t>
  </si>
  <si>
    <t>62 – 130+</t>
  </si>
  <si>
    <t>disneylandparis.com</t>
  </si>
  <si>
    <t>Disneyland — 1 dia, 2 parques</t>
  </si>
  <si>
    <t>89 – 140+</t>
  </si>
  <si>
    <t>Torre Eiffel — 2º andar elevador</t>
  </si>
  <si>
    <t>23,50</t>
  </si>
  <si>
    <t>ticket.toureiffel.paris</t>
  </si>
  <si>
    <t>Torre Eiffel — topo elevador</t>
  </si>
  <si>
    <t>36,70</t>
  </si>
  <si>
    <t>Torre Eiffel — escadas + topo</t>
  </si>
  <si>
    <t>28,00</t>
  </si>
  <si>
    <t>16 / 22</t>
  </si>
  <si>
    <t>paris-arc-de-triomphe.fr</t>
  </si>
  <si>
    <t>Louvre (pago)</t>
  </si>
  <si>
    <t>22,00</t>
  </si>
  <si>
    <t>ticket.louvre.fr</t>
  </si>
  <si>
    <t>Alimentação/dia (econômico)</t>
  </si>
  <si>
    <t>30 – 45</t>
  </si>
  <si>
    <t>Alimentação/dia (confortável)</t>
  </si>
  <si>
    <t>50 – 80</t>
  </si>
  <si>
    <t>DICAS DE ECONOMIA</t>
  </si>
  <si>
    <t>• Compre passagens aéreas com 2–3 meses de antecedência.</t>
  </si>
  <si>
    <t>• Alinhe as datas com o Navigo semanal (segunda–domingo) para maximizar o passe.</t>
  </si>
  <si>
    <t>• Disneyland: evite fins de semana e férias escolares europeias para preços menores.</t>
  </si>
  <si>
    <t>• Louvre grátis: reserve assim que abrirem os horários (poucos dias antes da data).</t>
  </si>
  <si>
    <t>• Prefira menu do dia (formule) no almoço — geralmente €14–18 com prato + sobremesa.</t>
  </si>
  <si>
    <t>• Mercados e padarias reduzem muito o custo de alimentação.</t>
  </si>
  <si>
    <t>• Arco do Triunfo: visite numa quarta entre abril e setembro e pague €16 em vez de €22.</t>
  </si>
  <si>
    <t>• Todos os links de reserva estão na aba 'Links e Reservas'.</t>
  </si>
  <si>
    <t>Câmbio usado na planilha:</t>
  </si>
  <si>
    <t>Altere na aba Custos (célula G3)</t>
  </si>
  <si>
    <t>Total estimado EUR:</t>
  </si>
  <si>
    <t>Total estimado BRL: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</si>
</sst>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\R\$\ #,##0.00"/>
  </numFmts>
  <fonts count="13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1"/>
      <color rgb="FF666666"/>
      <name val="Calibri"/>
    </font>
    <font>
      <b/>
      <sz val="11"/>
      <name val="Calibri"/>
    </font>
    <font>
      <u/>
      <sz val="10"/>
      <color rgb="FF0563C1"/>
      <name val="Calibri"/>
    </font>
    <font>
      <b/>
      <i/>
      <sz val="11"/>
      <name val="Calibri"/>
    </font>
    <font>
      <b/>
      <sz val="11"/>
      <color rgb="FFFFFFFF"/>
      <name val="Calibri"/>
    </font>
    <font>
      <b/>
      <sz val="12"/>
      <color rgb="FF1F4E79"/>
      <name val="Calibri"/>
    </font>
    <font>
      <i/>
      <sz val="11"/>
      <color rgb="FF444444"/>
      <name val="Calibri"/>
    </font>
    <font>
      <b/>
      <sz val="11"/>
      <color rgb="FF1F4E79"/>
      <name val="Calibri"/>
    </font>
    <font>
      <b/>
      <sz val="9"/>
      <name val="Calibri"/>
    </font>
    <font>
      <sz val="9"/>
      <name val="Calibri"/>
    </font>
    <font>
      <u/>
      <sz val="9"/>
      <color rgb="FF0563C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Alignment="1">
      <alignment horizontal="right" vertical="center"/>
    </xf>
    <xf numFmtId="2" fontId="0" fillId="2" borderId="1" xfId="0" applyNumberForma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vertical="center" wrapText="1"/>
    </xf>
    <xf numFmtId="165" fontId="3" fillId="3" borderId="1" xfId="0" applyNumberFormat="1" applyFont="1" applyFill="1" applyBorder="1" applyAlignment="1">
      <alignment vertical="center" wrapText="1"/>
    </xf>
    <xf numFmtId="0" fontId="5" fillId="0" borderId="0" xfId="0" applyFont="1"/>
    <xf numFmtId="164" fontId="0" fillId="0" borderId="0" xfId="0" applyNumberFormat="1"/>
    <xf numFmtId="0" fontId="4" fillId="0" borderId="1" xfId="0" applyFont="1" applyBorder="1" applyAlignment="1">
      <alignment vertical="center"/>
    </xf>
    <xf numFmtId="0" fontId="0" fillId="0" borderId="1" xfId="0" applyBorder="1"/>
    <xf numFmtId="0" fontId="10" fillId="0" borderId="0" xfId="0" applyFont="1"/>
    <xf numFmtId="0" fontId="4" fillId="0" borderId="0" xfId="0" applyFont="1" applyAlignment="1">
      <alignment vertical="center"/>
    </xf>
    <xf numFmtId="0" fontId="1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7" fillId="7" borderId="1" xfId="0" applyFont="1" applyFill="1" applyBorder="1" applyAlignment="1">
      <alignment vertical="center"/>
    </xf>
    <xf numFmtId="0" fontId="0" fillId="7" borderId="1" xfId="0" applyFill="1" applyBorder="1"/>
    <xf numFmtId="0" fontId="8" fillId="3" borderId="1" xfId="0" applyFont="1" applyFill="1" applyBorder="1"/>
    <xf numFmtId="0" fontId="0" fillId="3" borderId="1" xfId="0" applyFill="1" applyBorder="1"/>
    <xf numFmtId="0" fontId="7" fillId="6" borderId="1" xfId="0" applyFont="1" applyFill="1" applyBorder="1" applyAlignment="1">
      <alignment vertical="center"/>
    </xf>
    <xf numFmtId="0" fontId="0" fillId="6" borderId="1" xfId="0" applyFill="1" applyBorder="1"/>
    <xf numFmtId="0" fontId="0" fillId="2" borderId="0" xfId="0" applyFill="1" applyAlignment="1">
      <alignment wrapText="1"/>
    </xf>
    <xf numFmtId="0" fontId="7" fillId="5" borderId="1" xfId="0" applyFont="1" applyFill="1" applyBorder="1" applyAlignment="1">
      <alignment vertical="center"/>
    </xf>
    <xf numFmtId="0" fontId="0" fillId="5" borderId="1" xfId="0" applyFill="1" applyBorder="1"/>
    <xf numFmtId="0" fontId="0" fillId="0" borderId="0" xfId="0" applyAlignment="1">
      <alignment wrapText="1"/>
    </xf>
    <xf numFmtId="0" fontId="8" fillId="2" borderId="1" xfId="0" applyFont="1" applyFill="1" applyBorder="1"/>
    <xf numFmtId="0" fontId="0" fillId="2" borderId="1" xfId="0" applyFill="1" applyBorder="1"/>
    <xf numFmtId="0" fontId="7" fillId="3" borderId="1" xfId="0" applyFont="1" applyFill="1" applyBorder="1" applyAlignment="1">
      <alignment vertical="center"/>
    </xf>
    <xf numFmtId="0" fontId="9" fillId="0" borderId="0" xfId="0" applyFont="1" applyAlignment="1">
      <alignment wrapText="1"/>
    </xf>
    <xf numFmtId="0" fontId="8" fillId="5" borderId="1" xfId="0" applyFont="1" applyFill="1" applyBorder="1"/>
    <xf numFmtId="0" fontId="2" fillId="0" borderId="0" xfId="0" applyFont="1" applyAlignment="1">
      <alignment horizontal="center" wrapText="1"/>
    </xf>
    <xf numFmtId="0" fontId="8" fillId="7" borderId="1" xfId="0" applyFont="1" applyFill="1" applyBorder="1"/>
    <xf numFmtId="0" fontId="7" fillId="2" borderId="1" xfId="0" applyFont="1" applyFill="1" applyBorder="1" applyAlignment="1">
      <alignment vertical="center"/>
    </xf>
    <xf numFmtId="0" fontId="8" fillId="6" borderId="1" xfId="0" applyFont="1" applyFill="1" applyBorder="1"/>
    <xf numFmtId="0" fontId="11" fillId="2" borderId="0" xfId="0" applyFont="1" applyFill="1" applyAlignment="1">
      <alignment vertical="center"/>
    </xf>
    <xf numFmtId="0" fontId="11" fillId="2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cket.toureiffel.paris/en" TargetMode="External"/><Relationship Id="rId13" Type="http://schemas.openxmlformats.org/officeDocument/2006/relationships/hyperlink" Target="https://www.chateauversailles.fr/visit/tickets" TargetMode="External"/><Relationship Id="rId3" Type="http://schemas.openxmlformats.org/officeDocument/2006/relationships/hyperlink" Target="https://www.iledefrance-mobilites.fr/en/tickets-fares/media/navigo-decouverte" TargetMode="External"/><Relationship Id="rId7" Type="http://schemas.openxmlformats.org/officeDocument/2006/relationships/hyperlink" Target="https://ticket.toureiffel.paris/en" TargetMode="External"/><Relationship Id="rId12" Type="http://schemas.openxmlformats.org/officeDocument/2006/relationships/hyperlink" Target="https://billetterie.musee-orsay.fr/en-GB" TargetMode="External"/><Relationship Id="rId2" Type="http://schemas.openxmlformats.org/officeDocument/2006/relationships/hyperlink" Target="https://www.iledefrance-mobilites.fr/en/tickets-fares/detail/navigo-weekly-ticket" TargetMode="External"/><Relationship Id="rId1" Type="http://schemas.openxmlformats.org/officeDocument/2006/relationships/hyperlink" Target="https://www.google.com/travel/flights" TargetMode="External"/><Relationship Id="rId6" Type="http://schemas.openxmlformats.org/officeDocument/2006/relationships/hyperlink" Target="https://www.disneylandparis.com/en-usd/tickets/" TargetMode="External"/><Relationship Id="rId11" Type="http://schemas.openxmlformats.org/officeDocument/2006/relationships/hyperlink" Target="https://ticket.louvre.fr/en" TargetMode="External"/><Relationship Id="rId5" Type="http://schemas.openxmlformats.org/officeDocument/2006/relationships/hyperlink" Target="https://www.disneylandparis.com/en-usd/tickets/" TargetMode="External"/><Relationship Id="rId10" Type="http://schemas.openxmlformats.org/officeDocument/2006/relationships/hyperlink" Target="https://www.paris-arc-de-triomphe.fr/en/booking/book-a-ticket" TargetMode="External"/><Relationship Id="rId4" Type="http://schemas.openxmlformats.org/officeDocument/2006/relationships/hyperlink" Target="https://www.iledefrance-mobilites.fr/en/tickets-fares/detail/paris-region-airport-ticket" TargetMode="External"/><Relationship Id="rId9" Type="http://schemas.openxmlformats.org/officeDocument/2006/relationships/hyperlink" Target="https://ticket.toureiffel.paris/en" TargetMode="External"/><Relationship Id="rId14" Type="http://schemas.openxmlformats.org/officeDocument/2006/relationships/hyperlink" Target="https://www.airalo.com/europe-esi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tp.fr/en/getting-around/maps/rer-a" TargetMode="External"/><Relationship Id="rId3" Type="http://schemas.openxmlformats.org/officeDocument/2006/relationships/hyperlink" Target="https://www.louvre.fr/en/visit/hours-admission" TargetMode="External"/><Relationship Id="rId7" Type="http://schemas.openxmlformats.org/officeDocument/2006/relationships/hyperlink" Target="https://www.galerieslafayette.com/en/" TargetMode="External"/><Relationship Id="rId12" Type="http://schemas.openxmlformats.org/officeDocument/2006/relationships/hyperlink" Target="https://www.iledefrance-mobilites.fr/en/tickets-fares/detail/paris-region-airport-ticket" TargetMode="External"/><Relationship Id="rId2" Type="http://schemas.openxmlformats.org/officeDocument/2006/relationships/hyperlink" Target="https://www.notredamedeparis.fr/en/visit/opening-times-and-access" TargetMode="External"/><Relationship Id="rId1" Type="http://schemas.openxmlformats.org/officeDocument/2006/relationships/hyperlink" Target="https://www.iledefrance-mobilites.fr/en/tickets-fares/detail/navigo-weekly-ticket" TargetMode="External"/><Relationship Id="rId6" Type="http://schemas.openxmlformats.org/officeDocument/2006/relationships/hyperlink" Target="https://www.paris-arc-de-triomphe.fr/en/booking/book-a-ticket" TargetMode="External"/><Relationship Id="rId11" Type="http://schemas.openxmlformats.org/officeDocument/2006/relationships/hyperlink" Target="https://billetterie.musee-orsay.fr/en-GB" TargetMode="External"/><Relationship Id="rId5" Type="http://schemas.openxmlformats.org/officeDocument/2006/relationships/hyperlink" Target="https://ticket.toureiffel.paris/en" TargetMode="External"/><Relationship Id="rId10" Type="http://schemas.openxmlformats.org/officeDocument/2006/relationships/hyperlink" Target="https://www.disneylandparis.com/en-usd/calendar/" TargetMode="External"/><Relationship Id="rId4" Type="http://schemas.openxmlformats.org/officeDocument/2006/relationships/hyperlink" Target="https://ticket.louvre.fr/en" TargetMode="External"/><Relationship Id="rId9" Type="http://schemas.openxmlformats.org/officeDocument/2006/relationships/hyperlink" Target="https://www.disneylandparis.com/en-usd/tickets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ureiffel.paris/en/rates-opening-times" TargetMode="External"/><Relationship Id="rId13" Type="http://schemas.openxmlformats.org/officeDocument/2006/relationships/hyperlink" Target="https://www.disneylandparis.com/en-usd/calendar/" TargetMode="External"/><Relationship Id="rId3" Type="http://schemas.openxmlformats.org/officeDocument/2006/relationships/hyperlink" Target="https://www.iledefrance-mobilites.fr/en/tickets-fares/detail/paris-region-airport-ticket" TargetMode="External"/><Relationship Id="rId7" Type="http://schemas.openxmlformats.org/officeDocument/2006/relationships/hyperlink" Target="https://ticket.toureiffel.paris/en" TargetMode="External"/><Relationship Id="rId12" Type="http://schemas.openxmlformats.org/officeDocument/2006/relationships/hyperlink" Target="https://www.disneylandparis.com/en-usd/tickets/" TargetMode="External"/><Relationship Id="rId2" Type="http://schemas.openxmlformats.org/officeDocument/2006/relationships/hyperlink" Target="https://www.iledefrance-mobilites.fr/en/tickets-fares/media/navigo-decouverte" TargetMode="External"/><Relationship Id="rId16" Type="http://schemas.openxmlformats.org/officeDocument/2006/relationships/hyperlink" Target="https://www.airalo.com/europe-esim" TargetMode="External"/><Relationship Id="rId1" Type="http://schemas.openxmlformats.org/officeDocument/2006/relationships/hyperlink" Target="https://www.iledefrance-mobilites.fr/en/tickets-fares/detail/navigo-weekly-ticket" TargetMode="External"/><Relationship Id="rId6" Type="http://schemas.openxmlformats.org/officeDocument/2006/relationships/hyperlink" Target="https://billetterie.musee-orsay.fr/en-GB" TargetMode="External"/><Relationship Id="rId11" Type="http://schemas.openxmlformats.org/officeDocument/2006/relationships/hyperlink" Target="https://www.chateauversailles.fr/visit/tickets" TargetMode="External"/><Relationship Id="rId5" Type="http://schemas.openxmlformats.org/officeDocument/2006/relationships/hyperlink" Target="https://www.louvre.fr/en/visit/hours-admission" TargetMode="External"/><Relationship Id="rId15" Type="http://schemas.openxmlformats.org/officeDocument/2006/relationships/hyperlink" Target="https://www.notredamedeparis.fr/en/visit/opening-times-and-access" TargetMode="External"/><Relationship Id="rId10" Type="http://schemas.openxmlformats.org/officeDocument/2006/relationships/hyperlink" Target="https://billetterie.monuments-nationaux.fr/en/list/monuments-sainte-chapelle" TargetMode="External"/><Relationship Id="rId4" Type="http://schemas.openxmlformats.org/officeDocument/2006/relationships/hyperlink" Target="https://ticket.louvre.fr/en" TargetMode="External"/><Relationship Id="rId9" Type="http://schemas.openxmlformats.org/officeDocument/2006/relationships/hyperlink" Target="https://www.paris-arc-de-triomphe.fr/en/booking/book-a-ticket" TargetMode="External"/><Relationship Id="rId14" Type="http://schemas.openxmlformats.org/officeDocument/2006/relationships/hyperlink" Target="https://www.ratp.fr/en/getting-around/maps/rer-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icket.louvre.fr/en" TargetMode="External"/><Relationship Id="rId13" Type="http://schemas.openxmlformats.org/officeDocument/2006/relationships/hyperlink" Target="https://ticket.louvre.fr/en" TargetMode="External"/><Relationship Id="rId3" Type="http://schemas.openxmlformats.org/officeDocument/2006/relationships/hyperlink" Target="https://www.paris-arc-de-triomphe.fr/en/booking/book-a-ticket" TargetMode="External"/><Relationship Id="rId7" Type="http://schemas.openxmlformats.org/officeDocument/2006/relationships/hyperlink" Target="https://ticket.louvre.fr/en" TargetMode="External"/><Relationship Id="rId12" Type="http://schemas.openxmlformats.org/officeDocument/2006/relationships/hyperlink" Target="https://ticket.louvre.fr/en" TargetMode="External"/><Relationship Id="rId2" Type="http://schemas.openxmlformats.org/officeDocument/2006/relationships/hyperlink" Target="https://www.louvre.fr/en/visit/hours-admission" TargetMode="External"/><Relationship Id="rId1" Type="http://schemas.openxmlformats.org/officeDocument/2006/relationships/hyperlink" Target="https://ticket.louvre.fr/en" TargetMode="External"/><Relationship Id="rId6" Type="http://schemas.openxmlformats.org/officeDocument/2006/relationships/hyperlink" Target="https://ticket.louvre.fr/en" TargetMode="External"/><Relationship Id="rId11" Type="http://schemas.openxmlformats.org/officeDocument/2006/relationships/hyperlink" Target="https://ticket.louvre.fr/en" TargetMode="External"/><Relationship Id="rId5" Type="http://schemas.openxmlformats.org/officeDocument/2006/relationships/hyperlink" Target="https://ticket.louvre.fr/en" TargetMode="External"/><Relationship Id="rId10" Type="http://schemas.openxmlformats.org/officeDocument/2006/relationships/hyperlink" Target="https://ticket.louvre.fr/en" TargetMode="External"/><Relationship Id="rId4" Type="http://schemas.openxmlformats.org/officeDocument/2006/relationships/hyperlink" Target="https://billetterie.musee-orsay.fr/en-GB" TargetMode="External"/><Relationship Id="rId9" Type="http://schemas.openxmlformats.org/officeDocument/2006/relationships/hyperlink" Target="https://ticket.louvre.fr/en" TargetMode="External"/><Relationship Id="rId14" Type="http://schemas.openxmlformats.org/officeDocument/2006/relationships/hyperlink" Target="https://ticket.louvre.fr/e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aris-arc-de-triomphe.fr/en/booking/book-a-ticket" TargetMode="External"/><Relationship Id="rId3" Type="http://schemas.openxmlformats.org/officeDocument/2006/relationships/hyperlink" Target="https://www.disneylandparis.com/en-usd/tickets/" TargetMode="External"/><Relationship Id="rId7" Type="http://schemas.openxmlformats.org/officeDocument/2006/relationships/hyperlink" Target="https://ticket.toureiffel.paris/en" TargetMode="External"/><Relationship Id="rId2" Type="http://schemas.openxmlformats.org/officeDocument/2006/relationships/hyperlink" Target="https://www.iledefrance-mobilites.fr/en/tickets-fares/media/navigo-decouverte" TargetMode="External"/><Relationship Id="rId1" Type="http://schemas.openxmlformats.org/officeDocument/2006/relationships/hyperlink" Target="https://www.iledefrance-mobilites.fr/en/tickets-fares/detail/navigo-weekly-ticket" TargetMode="External"/><Relationship Id="rId6" Type="http://schemas.openxmlformats.org/officeDocument/2006/relationships/hyperlink" Target="https://ticket.toureiffel.paris/en" TargetMode="External"/><Relationship Id="rId5" Type="http://schemas.openxmlformats.org/officeDocument/2006/relationships/hyperlink" Target="https://ticket.toureiffel.paris/en" TargetMode="External"/><Relationship Id="rId4" Type="http://schemas.openxmlformats.org/officeDocument/2006/relationships/hyperlink" Target="https://www.disneylandparis.com/en-usd/tickets/" TargetMode="External"/><Relationship Id="rId9" Type="http://schemas.openxmlformats.org/officeDocument/2006/relationships/hyperlink" Target="https://ticket.louvre.fr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pane ySplit="4" topLeftCell="A17" activePane="bottomLeft" state="frozen"/>
      <selection pane="bottomLeft" activeCell="G18" sqref="G18"/>
    </sheetView>
  </sheetViews>
  <sheetFormatPr defaultRowHeight="15" x14ac:dyDescent="0.25"/>
  <cols>
    <col min="1" max="1" width="14" customWidth="1"/>
    <col min="2" max="2" width="38" customWidth="1"/>
    <col min="3" max="4" width="12" customWidth="1"/>
    <col min="5" max="5" width="14" customWidth="1"/>
    <col min="6" max="6" width="16" customWidth="1"/>
    <col min="7" max="7" width="14" customWidth="1"/>
    <col min="8" max="9" width="18" customWidth="1"/>
    <col min="10" max="10" width="42" customWidth="1"/>
    <col min="11" max="11" width="18" customWidth="1"/>
  </cols>
  <sheetData>
    <row r="1" spans="1:11" ht="18.75" x14ac:dyDescent="0.3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x14ac:dyDescent="0.25">
      <c r="F3" s="1" t="s">
        <v>2</v>
      </c>
      <c r="G3" s="2">
        <v>6.2</v>
      </c>
    </row>
    <row r="4" spans="1:11" ht="30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spans="1:11" ht="30" x14ac:dyDescent="0.25">
      <c r="A5" s="4" t="s">
        <v>14</v>
      </c>
      <c r="B5" s="4" t="s">
        <v>15</v>
      </c>
      <c r="C5" s="4">
        <v>1</v>
      </c>
      <c r="D5" s="4">
        <v>1</v>
      </c>
      <c r="E5" s="5">
        <v>0</v>
      </c>
      <c r="F5" s="5">
        <f t="shared" ref="F5:F27" si="0">C5*D5*E5</f>
        <v>0</v>
      </c>
      <c r="G5" s="6">
        <f>$G3</f>
        <v>6.2</v>
      </c>
      <c r="H5" s="7">
        <f t="shared" ref="H5:H27" si="1">F5*G5</f>
        <v>0</v>
      </c>
      <c r="I5" s="7">
        <v>0</v>
      </c>
      <c r="J5" s="4" t="s">
        <v>16</v>
      </c>
      <c r="K5" s="8" t="s">
        <v>17</v>
      </c>
    </row>
    <row r="6" spans="1:11" ht="30" x14ac:dyDescent="0.25">
      <c r="A6" s="4" t="s">
        <v>14</v>
      </c>
      <c r="B6" s="4" t="s">
        <v>18</v>
      </c>
      <c r="C6" s="4">
        <v>1</v>
      </c>
      <c r="D6" s="4">
        <v>1</v>
      </c>
      <c r="E6" s="5">
        <v>32.4</v>
      </c>
      <c r="F6" s="5">
        <f t="shared" si="0"/>
        <v>32.4</v>
      </c>
      <c r="G6" s="6">
        <f>$G3</f>
        <v>6.2</v>
      </c>
      <c r="H6" s="7">
        <f t="shared" si="1"/>
        <v>200.88</v>
      </c>
      <c r="I6" s="7">
        <v>0</v>
      </c>
      <c r="J6" s="4" t="s">
        <v>19</v>
      </c>
      <c r="K6" s="8" t="s">
        <v>20</v>
      </c>
    </row>
    <row r="7" spans="1:11" ht="30" x14ac:dyDescent="0.25">
      <c r="A7" s="4" t="s">
        <v>14</v>
      </c>
      <c r="B7" s="4" t="s">
        <v>21</v>
      </c>
      <c r="C7" s="4">
        <v>1</v>
      </c>
      <c r="D7" s="4">
        <v>1</v>
      </c>
      <c r="E7" s="5">
        <v>5</v>
      </c>
      <c r="F7" s="5">
        <f t="shared" si="0"/>
        <v>5</v>
      </c>
      <c r="G7" s="6">
        <f>$G3</f>
        <v>6.2</v>
      </c>
      <c r="H7" s="7">
        <f t="shared" si="1"/>
        <v>31</v>
      </c>
      <c r="I7" s="7">
        <v>0</v>
      </c>
      <c r="J7" s="4" t="s">
        <v>22</v>
      </c>
      <c r="K7" s="8" t="s">
        <v>23</v>
      </c>
    </row>
    <row r="8" spans="1:11" ht="30" x14ac:dyDescent="0.25">
      <c r="A8" s="4" t="s">
        <v>14</v>
      </c>
      <c r="B8" s="4" t="s">
        <v>24</v>
      </c>
      <c r="C8" s="4">
        <v>1</v>
      </c>
      <c r="D8" s="4">
        <v>2</v>
      </c>
      <c r="E8" s="5">
        <v>14</v>
      </c>
      <c r="F8" s="5">
        <f t="shared" si="0"/>
        <v>28</v>
      </c>
      <c r="G8" s="6">
        <f>$G3</f>
        <v>6.2</v>
      </c>
      <c r="H8" s="7">
        <f t="shared" si="1"/>
        <v>173.6</v>
      </c>
      <c r="I8" s="7">
        <v>0</v>
      </c>
      <c r="J8" s="4" t="s">
        <v>25</v>
      </c>
      <c r="K8" s="8" t="s">
        <v>26</v>
      </c>
    </row>
    <row r="9" spans="1:11" x14ac:dyDescent="0.25">
      <c r="A9" s="4" t="s">
        <v>27</v>
      </c>
      <c r="B9" s="4" t="s">
        <v>28</v>
      </c>
      <c r="C9" s="4">
        <v>1</v>
      </c>
      <c r="D9" s="4">
        <v>4</v>
      </c>
      <c r="E9" s="5">
        <v>0</v>
      </c>
      <c r="F9" s="5">
        <f t="shared" si="0"/>
        <v>0</v>
      </c>
      <c r="G9" s="6">
        <f>$G3</f>
        <v>6.2</v>
      </c>
      <c r="H9" s="7">
        <f t="shared" si="1"/>
        <v>0</v>
      </c>
      <c r="I9" s="7">
        <v>0</v>
      </c>
      <c r="J9" s="4" t="s">
        <v>29</v>
      </c>
      <c r="K9" s="4"/>
    </row>
    <row r="10" spans="1:11" x14ac:dyDescent="0.25">
      <c r="A10" s="4" t="s">
        <v>27</v>
      </c>
      <c r="B10" s="4" t="s">
        <v>30</v>
      </c>
      <c r="C10" s="4">
        <v>1</v>
      </c>
      <c r="D10" s="4">
        <v>1</v>
      </c>
      <c r="E10" s="5">
        <v>0</v>
      </c>
      <c r="F10" s="5">
        <f t="shared" si="0"/>
        <v>0</v>
      </c>
      <c r="G10" s="6">
        <f>$G3</f>
        <v>6.2</v>
      </c>
      <c r="H10" s="7">
        <f t="shared" si="1"/>
        <v>0</v>
      </c>
      <c r="I10" s="7">
        <v>0</v>
      </c>
      <c r="J10" s="4" t="s">
        <v>31</v>
      </c>
      <c r="K10" s="4"/>
    </row>
    <row r="11" spans="1:11" x14ac:dyDescent="0.25">
      <c r="A11" s="4" t="s">
        <v>32</v>
      </c>
      <c r="B11" s="4" t="s">
        <v>33</v>
      </c>
      <c r="C11" s="4">
        <v>1</v>
      </c>
      <c r="D11" s="4">
        <v>5</v>
      </c>
      <c r="E11" s="5">
        <v>8</v>
      </c>
      <c r="F11" s="5">
        <f t="shared" si="0"/>
        <v>40</v>
      </c>
      <c r="G11" s="6">
        <f>$G3</f>
        <v>6.2</v>
      </c>
      <c r="H11" s="7">
        <f t="shared" si="1"/>
        <v>248</v>
      </c>
      <c r="I11" s="7">
        <v>0</v>
      </c>
      <c r="J11" s="4" t="s">
        <v>34</v>
      </c>
      <c r="K11" s="4"/>
    </row>
    <row r="12" spans="1:11" x14ac:dyDescent="0.25">
      <c r="A12" s="4" t="s">
        <v>32</v>
      </c>
      <c r="B12" s="4" t="s">
        <v>35</v>
      </c>
      <c r="C12" s="4">
        <v>1</v>
      </c>
      <c r="D12" s="4">
        <v>5</v>
      </c>
      <c r="E12" s="5">
        <v>15</v>
      </c>
      <c r="F12" s="5">
        <f t="shared" si="0"/>
        <v>75</v>
      </c>
      <c r="G12" s="6">
        <f>$G3</f>
        <v>6.2</v>
      </c>
      <c r="H12" s="7">
        <f t="shared" si="1"/>
        <v>465</v>
      </c>
      <c r="I12" s="7">
        <v>0</v>
      </c>
      <c r="J12" s="4" t="s">
        <v>36</v>
      </c>
      <c r="K12" s="4"/>
    </row>
    <row r="13" spans="1:11" x14ac:dyDescent="0.25">
      <c r="A13" s="4" t="s">
        <v>32</v>
      </c>
      <c r="B13" s="4" t="s">
        <v>37</v>
      </c>
      <c r="C13" s="4">
        <v>1</v>
      </c>
      <c r="D13" s="4">
        <v>5</v>
      </c>
      <c r="E13" s="5">
        <v>20</v>
      </c>
      <c r="F13" s="5">
        <f t="shared" si="0"/>
        <v>100</v>
      </c>
      <c r="G13" s="6">
        <f>$G3</f>
        <v>6.2</v>
      </c>
      <c r="H13" s="7">
        <f t="shared" si="1"/>
        <v>620</v>
      </c>
      <c r="I13" s="7">
        <v>0</v>
      </c>
      <c r="J13" s="4" t="s">
        <v>38</v>
      </c>
      <c r="K13" s="4"/>
    </row>
    <row r="14" spans="1:11" x14ac:dyDescent="0.25">
      <c r="A14" s="4" t="s">
        <v>32</v>
      </c>
      <c r="B14" s="4" t="s">
        <v>39</v>
      </c>
      <c r="C14" s="4">
        <v>1</v>
      </c>
      <c r="D14" s="4">
        <v>5</v>
      </c>
      <c r="E14" s="5">
        <v>5</v>
      </c>
      <c r="F14" s="5">
        <f t="shared" si="0"/>
        <v>25</v>
      </c>
      <c r="G14" s="6">
        <f>$G3</f>
        <v>6.2</v>
      </c>
      <c r="H14" s="7">
        <f t="shared" si="1"/>
        <v>155</v>
      </c>
      <c r="I14" s="7">
        <v>0</v>
      </c>
      <c r="J14" s="4" t="s">
        <v>40</v>
      </c>
      <c r="K14" s="4"/>
    </row>
    <row r="15" spans="1:11" x14ac:dyDescent="0.25">
      <c r="A15" s="4" t="s">
        <v>41</v>
      </c>
      <c r="B15" s="4" t="s">
        <v>42</v>
      </c>
      <c r="C15" s="4">
        <v>1</v>
      </c>
      <c r="D15" s="4">
        <v>1</v>
      </c>
      <c r="E15" s="5">
        <v>75</v>
      </c>
      <c r="F15" s="5">
        <f t="shared" si="0"/>
        <v>75</v>
      </c>
      <c r="G15" s="6">
        <f>$G3</f>
        <v>6.2</v>
      </c>
      <c r="H15" s="7">
        <f t="shared" si="1"/>
        <v>465</v>
      </c>
      <c r="I15" s="7">
        <v>0</v>
      </c>
      <c r="J15" s="4" t="s">
        <v>43</v>
      </c>
      <c r="K15" s="8" t="s">
        <v>44</v>
      </c>
    </row>
    <row r="16" spans="1:11" ht="30" x14ac:dyDescent="0.25">
      <c r="A16" s="4" t="s">
        <v>41</v>
      </c>
      <c r="B16" s="4" t="s">
        <v>45</v>
      </c>
      <c r="C16" s="4">
        <v>1</v>
      </c>
      <c r="D16" s="4">
        <v>1</v>
      </c>
      <c r="E16" s="5">
        <v>110</v>
      </c>
      <c r="F16" s="5">
        <f t="shared" si="0"/>
        <v>110</v>
      </c>
      <c r="G16" s="6">
        <f>$G3</f>
        <v>6.2</v>
      </c>
      <c r="H16" s="7">
        <f t="shared" si="1"/>
        <v>682</v>
      </c>
      <c r="I16" s="7">
        <v>0</v>
      </c>
      <c r="J16" s="4" t="s">
        <v>46</v>
      </c>
      <c r="K16" s="8" t="s">
        <v>47</v>
      </c>
    </row>
    <row r="17" spans="1:11" x14ac:dyDescent="0.25">
      <c r="A17" s="4" t="s">
        <v>41</v>
      </c>
      <c r="B17" s="4" t="s">
        <v>48</v>
      </c>
      <c r="C17" s="4">
        <v>1</v>
      </c>
      <c r="D17" s="4">
        <v>1</v>
      </c>
      <c r="E17" s="5">
        <v>23.5</v>
      </c>
      <c r="F17" s="5">
        <f t="shared" si="0"/>
        <v>23.5</v>
      </c>
      <c r="G17" s="6">
        <f>$G3</f>
        <v>6.2</v>
      </c>
      <c r="H17" s="7">
        <f t="shared" si="1"/>
        <v>145.70000000000002</v>
      </c>
      <c r="I17" s="7">
        <v>0</v>
      </c>
      <c r="J17" s="4" t="s">
        <v>49</v>
      </c>
      <c r="K17" s="8" t="s">
        <v>50</v>
      </c>
    </row>
    <row r="18" spans="1:11" x14ac:dyDescent="0.25">
      <c r="A18" s="4" t="s">
        <v>41</v>
      </c>
      <c r="B18" s="4" t="s">
        <v>51</v>
      </c>
      <c r="C18" s="4">
        <v>1</v>
      </c>
      <c r="D18" s="4">
        <v>1</v>
      </c>
      <c r="E18" s="5">
        <v>36.700000000000003</v>
      </c>
      <c r="F18" s="5">
        <f t="shared" si="0"/>
        <v>36.700000000000003</v>
      </c>
      <c r="G18" s="6">
        <f>$G3</f>
        <v>6.2</v>
      </c>
      <c r="H18" s="7">
        <f t="shared" si="1"/>
        <v>227.54000000000002</v>
      </c>
      <c r="I18" s="7">
        <v>0</v>
      </c>
      <c r="J18" s="4" t="s">
        <v>52</v>
      </c>
      <c r="K18" s="8" t="s">
        <v>53</v>
      </c>
    </row>
    <row r="19" spans="1:11" ht="30" x14ac:dyDescent="0.25">
      <c r="A19" s="4" t="s">
        <v>41</v>
      </c>
      <c r="B19" s="4" t="s">
        <v>54</v>
      </c>
      <c r="C19" s="4">
        <v>1</v>
      </c>
      <c r="D19" s="4">
        <v>1</v>
      </c>
      <c r="E19" s="5">
        <v>28</v>
      </c>
      <c r="F19" s="5">
        <f t="shared" si="0"/>
        <v>28</v>
      </c>
      <c r="G19" s="6">
        <f>$G3</f>
        <v>6.2</v>
      </c>
      <c r="H19" s="7">
        <f t="shared" si="1"/>
        <v>173.6</v>
      </c>
      <c r="I19" s="7">
        <v>0</v>
      </c>
      <c r="J19" s="4" t="s">
        <v>55</v>
      </c>
      <c r="K19" s="8" t="s">
        <v>56</v>
      </c>
    </row>
    <row r="20" spans="1:11" ht="30" x14ac:dyDescent="0.25">
      <c r="A20" s="4" t="s">
        <v>41</v>
      </c>
      <c r="B20" s="4" t="s">
        <v>57</v>
      </c>
      <c r="C20" s="4">
        <v>1</v>
      </c>
      <c r="D20" s="4">
        <v>1</v>
      </c>
      <c r="E20" s="5">
        <v>16</v>
      </c>
      <c r="F20" s="5">
        <f t="shared" si="0"/>
        <v>16</v>
      </c>
      <c r="G20" s="6">
        <f>$G3</f>
        <v>6.2</v>
      </c>
      <c r="H20" s="7">
        <f t="shared" si="1"/>
        <v>99.2</v>
      </c>
      <c r="I20" s="7">
        <v>0</v>
      </c>
      <c r="J20" s="4" t="s">
        <v>58</v>
      </c>
      <c r="K20" s="8" t="s">
        <v>50</v>
      </c>
    </row>
    <row r="21" spans="1:11" ht="30" x14ac:dyDescent="0.25">
      <c r="A21" s="4" t="s">
        <v>41</v>
      </c>
      <c r="B21" s="4" t="s">
        <v>59</v>
      </c>
      <c r="C21" s="4">
        <v>1</v>
      </c>
      <c r="D21" s="4">
        <v>1</v>
      </c>
      <c r="E21" s="5">
        <v>22</v>
      </c>
      <c r="F21" s="5">
        <f t="shared" si="0"/>
        <v>22</v>
      </c>
      <c r="G21" s="6">
        <f>$G3</f>
        <v>6.2</v>
      </c>
      <c r="H21" s="7">
        <f t="shared" si="1"/>
        <v>136.4</v>
      </c>
      <c r="I21" s="7">
        <v>0</v>
      </c>
      <c r="J21" s="4" t="s">
        <v>60</v>
      </c>
      <c r="K21" s="8" t="s">
        <v>61</v>
      </c>
    </row>
    <row r="22" spans="1:11" x14ac:dyDescent="0.25">
      <c r="A22" s="4" t="s">
        <v>41</v>
      </c>
      <c r="B22" s="4" t="s">
        <v>62</v>
      </c>
      <c r="C22" s="4">
        <v>1</v>
      </c>
      <c r="D22" s="4">
        <v>1</v>
      </c>
      <c r="E22" s="5">
        <v>16</v>
      </c>
      <c r="F22" s="5">
        <f t="shared" si="0"/>
        <v>16</v>
      </c>
      <c r="G22" s="6">
        <f>$G3</f>
        <v>6.2</v>
      </c>
      <c r="H22" s="7">
        <f t="shared" si="1"/>
        <v>99.2</v>
      </c>
      <c r="I22" s="7">
        <v>0</v>
      </c>
      <c r="J22" s="4" t="s">
        <v>63</v>
      </c>
      <c r="K22" s="8" t="s">
        <v>64</v>
      </c>
    </row>
    <row r="23" spans="1:11" x14ac:dyDescent="0.25">
      <c r="A23" s="4" t="s">
        <v>41</v>
      </c>
      <c r="B23" s="4" t="s">
        <v>65</v>
      </c>
      <c r="C23" s="4">
        <v>1</v>
      </c>
      <c r="D23" s="4">
        <v>1</v>
      </c>
      <c r="E23" s="5">
        <v>21</v>
      </c>
      <c r="F23" s="5">
        <f t="shared" si="0"/>
        <v>21</v>
      </c>
      <c r="G23" s="6">
        <f>$G3</f>
        <v>6.2</v>
      </c>
      <c r="H23" s="7">
        <f t="shared" si="1"/>
        <v>130.20000000000002</v>
      </c>
      <c r="I23" s="7">
        <v>0</v>
      </c>
      <c r="J23" s="4" t="s">
        <v>66</v>
      </c>
      <c r="K23" s="8" t="s">
        <v>67</v>
      </c>
    </row>
    <row r="24" spans="1:11" x14ac:dyDescent="0.25">
      <c r="A24" s="4" t="s">
        <v>68</v>
      </c>
      <c r="B24" s="4" t="s">
        <v>69</v>
      </c>
      <c r="C24" s="4">
        <v>1</v>
      </c>
      <c r="D24" s="4">
        <v>1</v>
      </c>
      <c r="E24" s="5">
        <v>0</v>
      </c>
      <c r="F24" s="5">
        <f t="shared" si="0"/>
        <v>0</v>
      </c>
      <c r="G24" s="6">
        <f>$G3</f>
        <v>6.2</v>
      </c>
      <c r="H24" s="7">
        <f t="shared" si="1"/>
        <v>0</v>
      </c>
      <c r="I24" s="7">
        <v>0</v>
      </c>
      <c r="J24" s="4" t="s">
        <v>70</v>
      </c>
      <c r="K24" s="4"/>
    </row>
    <row r="25" spans="1:11" x14ac:dyDescent="0.25">
      <c r="A25" s="4" t="s">
        <v>68</v>
      </c>
      <c r="B25" s="4" t="s">
        <v>71</v>
      </c>
      <c r="C25" s="4">
        <v>1</v>
      </c>
      <c r="D25" s="4">
        <v>1</v>
      </c>
      <c r="E25" s="5">
        <v>0</v>
      </c>
      <c r="F25" s="5">
        <f t="shared" si="0"/>
        <v>0</v>
      </c>
      <c r="G25" s="6">
        <f>$G3</f>
        <v>6.2</v>
      </c>
      <c r="H25" s="7">
        <f t="shared" si="1"/>
        <v>0</v>
      </c>
      <c r="I25" s="7">
        <v>0</v>
      </c>
      <c r="J25" s="4" t="s">
        <v>72</v>
      </c>
      <c r="K25" s="8" t="s">
        <v>73</v>
      </c>
    </row>
    <row r="26" spans="1:11" x14ac:dyDescent="0.25">
      <c r="A26" s="4" t="s">
        <v>68</v>
      </c>
      <c r="B26" s="4" t="s">
        <v>74</v>
      </c>
      <c r="C26" s="4">
        <v>1</v>
      </c>
      <c r="D26" s="4">
        <v>1</v>
      </c>
      <c r="E26" s="5">
        <v>0</v>
      </c>
      <c r="F26" s="5">
        <f t="shared" si="0"/>
        <v>0</v>
      </c>
      <c r="G26" s="6">
        <f>$G3</f>
        <v>6.2</v>
      </c>
      <c r="H26" s="7">
        <f t="shared" si="1"/>
        <v>0</v>
      </c>
      <c r="I26" s="7">
        <v>0</v>
      </c>
      <c r="J26" s="4" t="s">
        <v>75</v>
      </c>
      <c r="K26" s="4"/>
    </row>
    <row r="27" spans="1:11" x14ac:dyDescent="0.25">
      <c r="A27" s="4" t="s">
        <v>68</v>
      </c>
      <c r="B27" s="4" t="s">
        <v>76</v>
      </c>
      <c r="C27" s="4">
        <v>1</v>
      </c>
      <c r="D27" s="4">
        <v>1</v>
      </c>
      <c r="E27" s="5">
        <v>50</v>
      </c>
      <c r="F27" s="5">
        <f t="shared" si="0"/>
        <v>50</v>
      </c>
      <c r="G27" s="6">
        <f>$G3</f>
        <v>6.2</v>
      </c>
      <c r="H27" s="7">
        <f t="shared" si="1"/>
        <v>310</v>
      </c>
      <c r="I27" s="7">
        <v>0</v>
      </c>
      <c r="J27" s="4" t="s">
        <v>77</v>
      </c>
      <c r="K27" s="4"/>
    </row>
    <row r="29" spans="1:11" x14ac:dyDescent="0.25">
      <c r="A29" s="4"/>
      <c r="B29" s="4"/>
      <c r="C29" s="4"/>
      <c r="D29" s="4"/>
      <c r="E29" s="9" t="s">
        <v>78</v>
      </c>
      <c r="F29" s="10">
        <f>SUM(F5:F27)</f>
        <v>703.6</v>
      </c>
      <c r="G29" s="4"/>
      <c r="H29" s="11">
        <f>SUM(H5:H27)</f>
        <v>4362.32</v>
      </c>
      <c r="I29" s="11">
        <f>SUM(I5:I27)</f>
        <v>0</v>
      </c>
      <c r="J29" s="4"/>
      <c r="K29" s="4"/>
    </row>
    <row r="30" spans="1:11" x14ac:dyDescent="0.25">
      <c r="E30" s="12" t="s">
        <v>79</v>
      </c>
      <c r="F30" s="13">
        <f>F29/MAX(C5,1)</f>
        <v>703.6</v>
      </c>
    </row>
  </sheetData>
  <mergeCells count="2">
    <mergeCell ref="A2:K2"/>
    <mergeCell ref="A1:K1"/>
  </mergeCells>
  <hyperlinks>
    <hyperlink ref="K5" r:id="rId1" xr:uid="{00000000-0004-0000-0000-000000000000}"/>
    <hyperlink ref="K6" r:id="rId2" xr:uid="{00000000-0004-0000-0000-000001000000}"/>
    <hyperlink ref="K7" r:id="rId3" xr:uid="{00000000-0004-0000-0000-000002000000}"/>
    <hyperlink ref="K8" r:id="rId4" xr:uid="{00000000-0004-0000-0000-000003000000}"/>
    <hyperlink ref="K15" r:id="rId5" xr:uid="{00000000-0004-0000-0000-000004000000}"/>
    <hyperlink ref="K16" r:id="rId6" xr:uid="{00000000-0004-0000-0000-000005000000}"/>
    <hyperlink ref="K17" r:id="rId7" xr:uid="{00000000-0004-0000-0000-000006000000}"/>
    <hyperlink ref="K18" r:id="rId8" xr:uid="{00000000-0004-0000-0000-000007000000}"/>
    <hyperlink ref="K19" r:id="rId9" xr:uid="{00000000-0004-0000-0000-000008000000}"/>
    <hyperlink ref="K20" r:id="rId10" xr:uid="{00000000-0004-0000-0000-000009000000}"/>
    <hyperlink ref="K21" r:id="rId11" xr:uid="{00000000-0004-0000-0000-00000A000000}"/>
    <hyperlink ref="K22" r:id="rId12" xr:uid="{00000000-0004-0000-0000-00000B000000}"/>
    <hyperlink ref="K23" r:id="rId13" xr:uid="{00000000-0004-0000-0000-00000C000000}"/>
    <hyperlink ref="K25" r:id="rId14" xr:uid="{00000000-0004-0000-0000-00000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workbookViewId="0">
      <pane ySplit="4" topLeftCell="A50" activePane="bottomLeft" state="frozen"/>
      <selection pane="bottomLeft" sqref="A1:G1"/>
    </sheetView>
  </sheetViews>
  <sheetFormatPr defaultRowHeight="15" x14ac:dyDescent="0.25"/>
  <cols>
    <col min="1" max="1" width="12" customWidth="1"/>
    <col min="2" max="2" width="14" customWidth="1"/>
    <col min="3" max="3" width="42" customWidth="1"/>
    <col min="4" max="4" width="22" customWidth="1"/>
    <col min="5" max="5" width="18" customWidth="1"/>
    <col min="6" max="6" width="16" customWidth="1"/>
    <col min="7" max="7" width="20" customWidth="1"/>
  </cols>
  <sheetData>
    <row r="1" spans="1:7" ht="18.75" x14ac:dyDescent="0.3">
      <c r="A1" s="22" t="s">
        <v>80</v>
      </c>
      <c r="B1" s="21"/>
      <c r="C1" s="21"/>
      <c r="D1" s="21"/>
      <c r="E1" s="21"/>
      <c r="F1" s="21"/>
      <c r="G1" s="21"/>
    </row>
    <row r="2" spans="1:7" x14ac:dyDescent="0.25">
      <c r="A2" s="38" t="s">
        <v>81</v>
      </c>
      <c r="B2" s="21"/>
      <c r="C2" s="21"/>
      <c r="D2" s="21"/>
      <c r="E2" s="21"/>
      <c r="F2" s="21"/>
      <c r="G2" s="21"/>
    </row>
    <row r="4" spans="1:7" ht="30" x14ac:dyDescent="0.25">
      <c r="A4" s="3" t="s">
        <v>82</v>
      </c>
      <c r="B4" s="3" t="s">
        <v>83</v>
      </c>
      <c r="C4" s="3" t="s">
        <v>84</v>
      </c>
      <c r="D4" s="3" t="s">
        <v>85</v>
      </c>
      <c r="E4" s="3" t="s">
        <v>14</v>
      </c>
      <c r="F4" s="3" t="s">
        <v>86</v>
      </c>
      <c r="G4" s="3" t="s">
        <v>13</v>
      </c>
    </row>
    <row r="5" spans="1:7" ht="15.75" x14ac:dyDescent="0.25">
      <c r="A5" s="30" t="s">
        <v>87</v>
      </c>
      <c r="B5" s="31"/>
      <c r="C5" s="31"/>
      <c r="D5" s="31"/>
      <c r="E5" s="31"/>
      <c r="F5" s="31"/>
      <c r="G5" s="31"/>
    </row>
    <row r="6" spans="1:7" x14ac:dyDescent="0.25">
      <c r="A6" s="37" t="s">
        <v>88</v>
      </c>
      <c r="B6" s="31"/>
      <c r="C6" s="31"/>
      <c r="D6" s="31"/>
      <c r="E6" s="31"/>
      <c r="F6" s="31"/>
      <c r="G6" s="31"/>
    </row>
    <row r="7" spans="1:7" ht="30" x14ac:dyDescent="0.25">
      <c r="A7" s="4" t="s">
        <v>89</v>
      </c>
      <c r="B7" s="4" t="s">
        <v>90</v>
      </c>
      <c r="C7" s="4" t="s">
        <v>91</v>
      </c>
      <c r="D7" s="4" t="s">
        <v>92</v>
      </c>
      <c r="E7" s="4" t="s">
        <v>93</v>
      </c>
      <c r="F7" s="4" t="s">
        <v>94</v>
      </c>
      <c r="G7" s="14" t="s">
        <v>20</v>
      </c>
    </row>
    <row r="8" spans="1:7" x14ac:dyDescent="0.25">
      <c r="A8" s="4" t="s">
        <v>95</v>
      </c>
      <c r="B8" s="4" t="s">
        <v>90</v>
      </c>
      <c r="C8" s="4" t="s">
        <v>96</v>
      </c>
      <c r="D8" s="4" t="s">
        <v>97</v>
      </c>
      <c r="E8" s="4" t="s">
        <v>98</v>
      </c>
      <c r="F8" s="4" t="s">
        <v>99</v>
      </c>
      <c r="G8" s="15"/>
    </row>
    <row r="9" spans="1:7" ht="30" x14ac:dyDescent="0.25">
      <c r="A9" s="4" t="s">
        <v>100</v>
      </c>
      <c r="B9" s="4" t="s">
        <v>90</v>
      </c>
      <c r="C9" s="4" t="s">
        <v>101</v>
      </c>
      <c r="D9" s="4" t="s">
        <v>102</v>
      </c>
      <c r="E9" s="4" t="s">
        <v>103</v>
      </c>
      <c r="F9" s="4" t="s">
        <v>104</v>
      </c>
      <c r="G9" s="14" t="s">
        <v>105</v>
      </c>
    </row>
    <row r="10" spans="1:7" ht="30" x14ac:dyDescent="0.25">
      <c r="A10" s="4" t="s">
        <v>106</v>
      </c>
      <c r="B10" s="4" t="s">
        <v>90</v>
      </c>
      <c r="C10" s="4" t="s">
        <v>107</v>
      </c>
      <c r="D10" s="4" t="s">
        <v>108</v>
      </c>
      <c r="E10" s="4" t="s">
        <v>109</v>
      </c>
      <c r="F10" s="4" t="s">
        <v>110</v>
      </c>
      <c r="G10" s="14" t="s">
        <v>111</v>
      </c>
    </row>
    <row r="11" spans="1:7" x14ac:dyDescent="0.25">
      <c r="A11" s="4" t="s">
        <v>112</v>
      </c>
      <c r="B11" s="4" t="s">
        <v>90</v>
      </c>
      <c r="C11" s="4" t="s">
        <v>113</v>
      </c>
      <c r="D11" s="4" t="s">
        <v>114</v>
      </c>
      <c r="E11" s="4" t="s">
        <v>115</v>
      </c>
      <c r="F11" s="4" t="s">
        <v>116</v>
      </c>
      <c r="G11" s="15"/>
    </row>
    <row r="13" spans="1:7" ht="15.75" x14ac:dyDescent="0.25">
      <c r="A13" s="35" t="s">
        <v>117</v>
      </c>
      <c r="B13" s="26"/>
      <c r="C13" s="26"/>
      <c r="D13" s="26"/>
      <c r="E13" s="26"/>
      <c r="F13" s="26"/>
      <c r="G13" s="26"/>
    </row>
    <row r="14" spans="1:7" x14ac:dyDescent="0.25">
      <c r="A14" s="25" t="s">
        <v>118</v>
      </c>
      <c r="B14" s="26"/>
      <c r="C14" s="26"/>
      <c r="D14" s="26"/>
      <c r="E14" s="26"/>
      <c r="F14" s="26"/>
      <c r="G14" s="26"/>
    </row>
    <row r="15" spans="1:7" ht="30" x14ac:dyDescent="0.25">
      <c r="A15" s="4" t="s">
        <v>119</v>
      </c>
      <c r="B15" s="4" t="s">
        <v>90</v>
      </c>
      <c r="C15" s="4" t="s">
        <v>120</v>
      </c>
      <c r="D15" s="4" t="s">
        <v>121</v>
      </c>
      <c r="E15" s="4" t="s">
        <v>109</v>
      </c>
      <c r="F15" s="4" t="s">
        <v>122</v>
      </c>
      <c r="G15" s="15"/>
    </row>
    <row r="16" spans="1:7" ht="30" x14ac:dyDescent="0.25">
      <c r="A16" s="4" t="s">
        <v>123</v>
      </c>
      <c r="B16" s="4" t="s">
        <v>90</v>
      </c>
      <c r="C16" s="4" t="s">
        <v>124</v>
      </c>
      <c r="D16" s="4" t="s">
        <v>125</v>
      </c>
      <c r="E16" s="4" t="s">
        <v>126</v>
      </c>
      <c r="F16" s="4" t="s">
        <v>127</v>
      </c>
      <c r="G16" s="14" t="s">
        <v>61</v>
      </c>
    </row>
    <row r="17" spans="1:7" x14ac:dyDescent="0.25">
      <c r="A17" s="4" t="s">
        <v>128</v>
      </c>
      <c r="B17" s="4" t="s">
        <v>90</v>
      </c>
      <c r="C17" s="4" t="s">
        <v>129</v>
      </c>
      <c r="D17" s="4" t="s">
        <v>130</v>
      </c>
      <c r="E17" s="4" t="s">
        <v>109</v>
      </c>
      <c r="F17" s="4" t="s">
        <v>99</v>
      </c>
      <c r="G17" s="15"/>
    </row>
    <row r="18" spans="1:7" x14ac:dyDescent="0.25">
      <c r="A18" s="4" t="s">
        <v>131</v>
      </c>
      <c r="B18" s="4" t="s">
        <v>90</v>
      </c>
      <c r="C18" s="4" t="s">
        <v>132</v>
      </c>
      <c r="D18" s="4" t="s">
        <v>133</v>
      </c>
      <c r="E18" s="4" t="s">
        <v>109</v>
      </c>
      <c r="F18" s="4" t="s">
        <v>110</v>
      </c>
      <c r="G18" s="15"/>
    </row>
    <row r="19" spans="1:7" ht="30" x14ac:dyDescent="0.25">
      <c r="A19" s="4" t="s">
        <v>134</v>
      </c>
      <c r="B19" s="4" t="s">
        <v>90</v>
      </c>
      <c r="C19" s="4" t="s">
        <v>135</v>
      </c>
      <c r="D19" s="4" t="s">
        <v>136</v>
      </c>
      <c r="E19" s="4" t="s">
        <v>137</v>
      </c>
      <c r="F19" s="4" t="s">
        <v>138</v>
      </c>
      <c r="G19" s="14" t="s">
        <v>139</v>
      </c>
    </row>
    <row r="20" spans="1:7" x14ac:dyDescent="0.25">
      <c r="A20" s="4" t="s">
        <v>112</v>
      </c>
      <c r="B20" s="4" t="s">
        <v>90</v>
      </c>
      <c r="C20" s="4" t="s">
        <v>140</v>
      </c>
      <c r="D20" s="4" t="s">
        <v>141</v>
      </c>
      <c r="E20" s="4" t="s">
        <v>142</v>
      </c>
      <c r="F20" s="4" t="s">
        <v>143</v>
      </c>
      <c r="G20" s="15"/>
    </row>
    <row r="22" spans="1:7" ht="15.75" x14ac:dyDescent="0.25">
      <c r="A22" s="27" t="s">
        <v>144</v>
      </c>
      <c r="B22" s="28"/>
      <c r="C22" s="28"/>
      <c r="D22" s="28"/>
      <c r="E22" s="28"/>
      <c r="F22" s="28"/>
      <c r="G22" s="28"/>
    </row>
    <row r="23" spans="1:7" x14ac:dyDescent="0.25">
      <c r="A23" s="41" t="s">
        <v>145</v>
      </c>
      <c r="B23" s="28"/>
      <c r="C23" s="28"/>
      <c r="D23" s="28"/>
      <c r="E23" s="28"/>
      <c r="F23" s="28"/>
      <c r="G23" s="28"/>
    </row>
    <row r="24" spans="1:7" x14ac:dyDescent="0.25">
      <c r="A24" s="4" t="s">
        <v>146</v>
      </c>
      <c r="B24" s="4" t="s">
        <v>90</v>
      </c>
      <c r="C24" s="4" t="s">
        <v>147</v>
      </c>
      <c r="D24" s="4" t="s">
        <v>148</v>
      </c>
      <c r="E24" s="4" t="s">
        <v>149</v>
      </c>
      <c r="F24" s="4" t="s">
        <v>122</v>
      </c>
      <c r="G24" s="15"/>
    </row>
    <row r="25" spans="1:7" ht="30" x14ac:dyDescent="0.25">
      <c r="A25" s="4" t="s">
        <v>150</v>
      </c>
      <c r="B25" s="4" t="s">
        <v>90</v>
      </c>
      <c r="C25" s="4" t="s">
        <v>151</v>
      </c>
      <c r="D25" s="4" t="s">
        <v>152</v>
      </c>
      <c r="E25" s="4" t="s">
        <v>153</v>
      </c>
      <c r="F25" s="4" t="s">
        <v>154</v>
      </c>
      <c r="G25" s="14" t="s">
        <v>155</v>
      </c>
    </row>
    <row r="26" spans="1:7" ht="30" x14ac:dyDescent="0.25">
      <c r="A26" s="4" t="s">
        <v>95</v>
      </c>
      <c r="B26" s="4" t="s">
        <v>90</v>
      </c>
      <c r="C26" s="4" t="s">
        <v>156</v>
      </c>
      <c r="D26" s="4" t="s">
        <v>152</v>
      </c>
      <c r="E26" s="4" t="s">
        <v>109</v>
      </c>
      <c r="F26" s="4" t="s">
        <v>110</v>
      </c>
      <c r="G26" s="15"/>
    </row>
    <row r="27" spans="1:7" x14ac:dyDescent="0.25">
      <c r="A27" s="4" t="s">
        <v>128</v>
      </c>
      <c r="B27" s="4" t="s">
        <v>90</v>
      </c>
      <c r="C27" s="4" t="s">
        <v>157</v>
      </c>
      <c r="D27" s="4" t="s">
        <v>158</v>
      </c>
      <c r="E27" s="4" t="s">
        <v>115</v>
      </c>
      <c r="F27" s="4" t="s">
        <v>99</v>
      </c>
      <c r="G27" s="15"/>
    </row>
    <row r="28" spans="1:7" ht="30" x14ac:dyDescent="0.25">
      <c r="A28" s="4" t="s">
        <v>131</v>
      </c>
      <c r="B28" s="4" t="s">
        <v>90</v>
      </c>
      <c r="C28" s="4" t="s">
        <v>159</v>
      </c>
      <c r="D28" s="4" t="s">
        <v>160</v>
      </c>
      <c r="E28" s="4" t="s">
        <v>161</v>
      </c>
      <c r="F28" s="4" t="s">
        <v>110</v>
      </c>
      <c r="G28" s="14" t="s">
        <v>162</v>
      </c>
    </row>
    <row r="29" spans="1:7" ht="30" x14ac:dyDescent="0.25">
      <c r="A29" s="4" t="s">
        <v>163</v>
      </c>
      <c r="B29" s="4" t="s">
        <v>90</v>
      </c>
      <c r="C29" s="4" t="s">
        <v>164</v>
      </c>
      <c r="D29" s="4" t="s">
        <v>165</v>
      </c>
      <c r="E29" s="4" t="s">
        <v>166</v>
      </c>
      <c r="F29" s="4" t="s">
        <v>110</v>
      </c>
      <c r="G29" s="15"/>
    </row>
    <row r="30" spans="1:7" x14ac:dyDescent="0.25">
      <c r="A30" s="4" t="s">
        <v>167</v>
      </c>
      <c r="B30" s="4" t="s">
        <v>90</v>
      </c>
      <c r="C30" s="4" t="s">
        <v>168</v>
      </c>
      <c r="D30" s="4" t="s">
        <v>169</v>
      </c>
      <c r="E30" s="4" t="s">
        <v>115</v>
      </c>
      <c r="F30" s="4" t="s">
        <v>143</v>
      </c>
      <c r="G30" s="15"/>
    </row>
    <row r="32" spans="1:7" ht="15.75" x14ac:dyDescent="0.25">
      <c r="A32" s="23" t="s">
        <v>170</v>
      </c>
      <c r="B32" s="24"/>
      <c r="C32" s="24"/>
      <c r="D32" s="24"/>
      <c r="E32" s="24"/>
      <c r="F32" s="24"/>
      <c r="G32" s="24"/>
    </row>
    <row r="33" spans="1:7" x14ac:dyDescent="0.25">
      <c r="A33" s="39" t="s">
        <v>171</v>
      </c>
      <c r="B33" s="24"/>
      <c r="C33" s="24"/>
      <c r="D33" s="24"/>
      <c r="E33" s="24"/>
      <c r="F33" s="24"/>
      <c r="G33" s="24"/>
    </row>
    <row r="34" spans="1:7" x14ac:dyDescent="0.25">
      <c r="A34" s="4" t="s">
        <v>172</v>
      </c>
      <c r="B34" s="4" t="s">
        <v>90</v>
      </c>
      <c r="C34" s="4" t="s">
        <v>173</v>
      </c>
      <c r="D34" s="4" t="s">
        <v>148</v>
      </c>
      <c r="E34" s="4" t="s">
        <v>149</v>
      </c>
      <c r="F34" s="4" t="s">
        <v>122</v>
      </c>
      <c r="G34" s="15"/>
    </row>
    <row r="35" spans="1:7" x14ac:dyDescent="0.25">
      <c r="A35" s="4" t="s">
        <v>174</v>
      </c>
      <c r="B35" s="4" t="s">
        <v>90</v>
      </c>
      <c r="C35" s="4" t="s">
        <v>175</v>
      </c>
      <c r="D35" s="4" t="s">
        <v>176</v>
      </c>
      <c r="E35" s="4" t="s">
        <v>177</v>
      </c>
      <c r="F35" s="4" t="s">
        <v>178</v>
      </c>
      <c r="G35" s="14" t="s">
        <v>179</v>
      </c>
    </row>
    <row r="36" spans="1:7" ht="30" x14ac:dyDescent="0.25">
      <c r="A36" s="4" t="s">
        <v>123</v>
      </c>
      <c r="B36" s="4" t="s">
        <v>90</v>
      </c>
      <c r="C36" s="4" t="s">
        <v>180</v>
      </c>
      <c r="D36" s="4" t="s">
        <v>181</v>
      </c>
      <c r="E36" s="4" t="s">
        <v>109</v>
      </c>
      <c r="F36" s="4" t="s">
        <v>182</v>
      </c>
      <c r="G36" s="14" t="s">
        <v>44</v>
      </c>
    </row>
    <row r="37" spans="1:7" x14ac:dyDescent="0.25">
      <c r="A37" s="4" t="s">
        <v>128</v>
      </c>
      <c r="B37" s="4" t="s">
        <v>90</v>
      </c>
      <c r="C37" s="4" t="s">
        <v>183</v>
      </c>
      <c r="D37" s="4" t="s">
        <v>176</v>
      </c>
      <c r="E37" s="4" t="s">
        <v>149</v>
      </c>
      <c r="F37" s="4" t="s">
        <v>184</v>
      </c>
      <c r="G37" s="14" t="s">
        <v>185</v>
      </c>
    </row>
    <row r="38" spans="1:7" ht="30" x14ac:dyDescent="0.25">
      <c r="A38" s="4" t="s">
        <v>186</v>
      </c>
      <c r="B38" s="4" t="s">
        <v>90</v>
      </c>
      <c r="C38" s="4" t="s">
        <v>187</v>
      </c>
      <c r="D38" s="4" t="s">
        <v>188</v>
      </c>
      <c r="E38" s="4" t="s">
        <v>109</v>
      </c>
      <c r="F38" s="4" t="s">
        <v>189</v>
      </c>
      <c r="G38" s="15"/>
    </row>
    <row r="39" spans="1:7" x14ac:dyDescent="0.25">
      <c r="A39" s="4" t="s">
        <v>190</v>
      </c>
      <c r="B39" s="4" t="s">
        <v>90</v>
      </c>
      <c r="C39" s="4" t="s">
        <v>191</v>
      </c>
      <c r="D39" s="4" t="s">
        <v>176</v>
      </c>
      <c r="E39" s="4" t="s">
        <v>149</v>
      </c>
      <c r="F39" s="4" t="s">
        <v>192</v>
      </c>
      <c r="G39" s="15"/>
    </row>
    <row r="40" spans="1:7" x14ac:dyDescent="0.25">
      <c r="A40" s="4" t="s">
        <v>193</v>
      </c>
      <c r="B40" s="4" t="s">
        <v>90</v>
      </c>
      <c r="C40" s="4" t="s">
        <v>194</v>
      </c>
      <c r="D40" s="4" t="s">
        <v>148</v>
      </c>
      <c r="E40" s="4" t="s">
        <v>195</v>
      </c>
      <c r="F40" s="4" t="s">
        <v>110</v>
      </c>
      <c r="G40" s="15"/>
    </row>
    <row r="42" spans="1:7" ht="15.75" x14ac:dyDescent="0.25">
      <c r="A42" s="40" t="s">
        <v>196</v>
      </c>
      <c r="B42" s="34"/>
      <c r="C42" s="34"/>
      <c r="D42" s="34"/>
      <c r="E42" s="34"/>
      <c r="F42" s="34"/>
      <c r="G42" s="34"/>
    </row>
    <row r="43" spans="1:7" x14ac:dyDescent="0.25">
      <c r="A43" s="33" t="s">
        <v>197</v>
      </c>
      <c r="B43" s="34"/>
      <c r="C43" s="34"/>
      <c r="D43" s="34"/>
      <c r="E43" s="34"/>
      <c r="F43" s="34"/>
      <c r="G43" s="34"/>
    </row>
    <row r="44" spans="1:7" ht="30" x14ac:dyDescent="0.25">
      <c r="A44" s="4" t="s">
        <v>198</v>
      </c>
      <c r="B44" s="4" t="s">
        <v>90</v>
      </c>
      <c r="C44" s="4" t="s">
        <v>199</v>
      </c>
      <c r="D44" s="4" t="s">
        <v>148</v>
      </c>
      <c r="E44" s="4" t="s">
        <v>149</v>
      </c>
      <c r="F44" s="4" t="s">
        <v>110</v>
      </c>
      <c r="G44" s="15"/>
    </row>
    <row r="45" spans="1:7" ht="30" x14ac:dyDescent="0.25">
      <c r="A45" s="4" t="s">
        <v>200</v>
      </c>
      <c r="B45" s="4" t="s">
        <v>90</v>
      </c>
      <c r="C45" s="4" t="s">
        <v>201</v>
      </c>
      <c r="D45" s="4" t="s">
        <v>202</v>
      </c>
      <c r="E45" s="4" t="s">
        <v>115</v>
      </c>
      <c r="F45" s="4" t="s">
        <v>203</v>
      </c>
      <c r="G45" s="15"/>
    </row>
    <row r="46" spans="1:7" ht="30" x14ac:dyDescent="0.25">
      <c r="A46" s="4" t="s">
        <v>204</v>
      </c>
      <c r="B46" s="4" t="s">
        <v>90</v>
      </c>
      <c r="C46" s="4" t="s">
        <v>205</v>
      </c>
      <c r="D46" s="4" t="s">
        <v>136</v>
      </c>
      <c r="E46" s="4" t="s">
        <v>206</v>
      </c>
      <c r="F46" s="4" t="s">
        <v>104</v>
      </c>
      <c r="G46" s="14" t="s">
        <v>64</v>
      </c>
    </row>
    <row r="47" spans="1:7" x14ac:dyDescent="0.25">
      <c r="A47" s="4" t="s">
        <v>207</v>
      </c>
      <c r="B47" s="4" t="s">
        <v>90</v>
      </c>
      <c r="C47" s="4" t="s">
        <v>208</v>
      </c>
      <c r="D47" s="4" t="s">
        <v>121</v>
      </c>
      <c r="E47" s="4" t="s">
        <v>115</v>
      </c>
      <c r="F47" s="4" t="s">
        <v>184</v>
      </c>
      <c r="G47" s="15"/>
    </row>
    <row r="48" spans="1:7" x14ac:dyDescent="0.25">
      <c r="A48" s="4" t="s">
        <v>209</v>
      </c>
      <c r="B48" s="4" t="s">
        <v>90</v>
      </c>
      <c r="C48" s="4" t="s">
        <v>210</v>
      </c>
      <c r="D48" s="4" t="s">
        <v>148</v>
      </c>
      <c r="E48" s="4" t="s">
        <v>115</v>
      </c>
      <c r="F48" s="4" t="s">
        <v>110</v>
      </c>
      <c r="G48" s="15"/>
    </row>
    <row r="49" spans="1:7" ht="30" x14ac:dyDescent="0.25">
      <c r="A49" s="4" t="s">
        <v>211</v>
      </c>
      <c r="B49" s="4" t="s">
        <v>90</v>
      </c>
      <c r="C49" s="4" t="s">
        <v>212</v>
      </c>
      <c r="D49" s="4" t="s">
        <v>213</v>
      </c>
      <c r="E49" s="4" t="s">
        <v>214</v>
      </c>
      <c r="F49" s="4" t="s">
        <v>94</v>
      </c>
      <c r="G49" s="14" t="s">
        <v>26</v>
      </c>
    </row>
    <row r="51" spans="1:7" x14ac:dyDescent="0.25">
      <c r="A51" s="36" t="s">
        <v>215</v>
      </c>
      <c r="B51" s="21"/>
      <c r="C51" s="21"/>
      <c r="D51" s="21"/>
      <c r="E51" s="21"/>
      <c r="F51" s="21"/>
      <c r="G51" s="21"/>
    </row>
    <row r="52" spans="1:7" x14ac:dyDescent="0.25">
      <c r="A52" s="32"/>
      <c r="B52" s="21"/>
      <c r="C52" s="21"/>
      <c r="D52" s="21"/>
      <c r="E52" s="21"/>
      <c r="F52" s="21"/>
      <c r="G52" s="21"/>
    </row>
    <row r="53" spans="1:7" x14ac:dyDescent="0.25">
      <c r="A53" s="29" t="s">
        <v>216</v>
      </c>
      <c r="B53" s="21"/>
      <c r="C53" s="21"/>
      <c r="D53" s="21"/>
      <c r="E53" s="21"/>
      <c r="F53" s="21"/>
      <c r="G53" s="21"/>
    </row>
    <row r="54" spans="1:7" x14ac:dyDescent="0.25">
      <c r="A54" s="29" t="s">
        <v>217</v>
      </c>
      <c r="B54" s="21"/>
      <c r="C54" s="21"/>
      <c r="D54" s="21"/>
      <c r="E54" s="21"/>
      <c r="F54" s="21"/>
      <c r="G54" s="21"/>
    </row>
    <row r="55" spans="1:7" x14ac:dyDescent="0.25">
      <c r="A55" s="29" t="s">
        <v>218</v>
      </c>
      <c r="B55" s="21"/>
      <c r="C55" s="21"/>
      <c r="D55" s="21"/>
      <c r="E55" s="21"/>
      <c r="F55" s="21"/>
      <c r="G55" s="21"/>
    </row>
    <row r="56" spans="1:7" x14ac:dyDescent="0.25">
      <c r="A56" s="29" t="s">
        <v>219</v>
      </c>
      <c r="B56" s="21"/>
      <c r="C56" s="21"/>
      <c r="D56" s="21"/>
      <c r="E56" s="21"/>
      <c r="F56" s="21"/>
      <c r="G56" s="21"/>
    </row>
    <row r="57" spans="1:7" x14ac:dyDescent="0.25">
      <c r="A57" s="32" t="s">
        <v>220</v>
      </c>
      <c r="B57" s="21"/>
      <c r="C57" s="21"/>
      <c r="D57" s="21"/>
      <c r="E57" s="21"/>
      <c r="F57" s="21"/>
      <c r="G57" s="21"/>
    </row>
    <row r="58" spans="1:7" x14ac:dyDescent="0.25">
      <c r="A58" s="32" t="s">
        <v>221</v>
      </c>
      <c r="B58" s="21"/>
      <c r="C58" s="21"/>
      <c r="D58" s="21"/>
      <c r="E58" s="21"/>
      <c r="F58" s="21"/>
      <c r="G58" s="21"/>
    </row>
    <row r="59" spans="1:7" x14ac:dyDescent="0.25">
      <c r="A59" s="32" t="s">
        <v>222</v>
      </c>
      <c r="B59" s="21"/>
      <c r="C59" s="21"/>
      <c r="D59" s="21"/>
      <c r="E59" s="21"/>
      <c r="F59" s="21"/>
      <c r="G59" s="21"/>
    </row>
  </sheetData>
  <mergeCells count="21">
    <mergeCell ref="A58:G58"/>
    <mergeCell ref="A59:G59"/>
    <mergeCell ref="A51:G51"/>
    <mergeCell ref="A1:G1"/>
    <mergeCell ref="A6:G6"/>
    <mergeCell ref="A54:G54"/>
    <mergeCell ref="A56:G56"/>
    <mergeCell ref="A55:G55"/>
    <mergeCell ref="A2:G2"/>
    <mergeCell ref="A57:G57"/>
    <mergeCell ref="A33:G33"/>
    <mergeCell ref="A42:G42"/>
    <mergeCell ref="A23:G23"/>
    <mergeCell ref="A32:G32"/>
    <mergeCell ref="A14:G14"/>
    <mergeCell ref="A22:G22"/>
    <mergeCell ref="A53:G53"/>
    <mergeCell ref="A5:G5"/>
    <mergeCell ref="A52:G52"/>
    <mergeCell ref="A43:G43"/>
    <mergeCell ref="A13:G13"/>
  </mergeCells>
  <hyperlinks>
    <hyperlink ref="G7" r:id="rId1" xr:uid="{00000000-0004-0000-0100-000000000000}"/>
    <hyperlink ref="G9" r:id="rId2" xr:uid="{00000000-0004-0000-0100-000001000000}"/>
    <hyperlink ref="G10" r:id="rId3" xr:uid="{00000000-0004-0000-0100-000002000000}"/>
    <hyperlink ref="G16" r:id="rId4" xr:uid="{00000000-0004-0000-0100-000003000000}"/>
    <hyperlink ref="G19" r:id="rId5" xr:uid="{00000000-0004-0000-0100-000004000000}"/>
    <hyperlink ref="G25" r:id="rId6" xr:uid="{00000000-0004-0000-0100-000005000000}"/>
    <hyperlink ref="G28" r:id="rId7" xr:uid="{00000000-0004-0000-0100-000006000000}"/>
    <hyperlink ref="G35" r:id="rId8" xr:uid="{00000000-0004-0000-0100-000007000000}"/>
    <hyperlink ref="G36" r:id="rId9" xr:uid="{00000000-0004-0000-0100-000008000000}"/>
    <hyperlink ref="G37" r:id="rId10" xr:uid="{00000000-0004-0000-0100-000009000000}"/>
    <hyperlink ref="G46" r:id="rId11" xr:uid="{00000000-0004-0000-0100-00000A000000}"/>
    <hyperlink ref="G49" r:id="rId12" xr:uid="{00000000-0004-0000-0100-00000B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42" customWidth="1"/>
    <col min="5" max="5" width="36" customWidth="1"/>
  </cols>
  <sheetData>
    <row r="1" spans="1:5" ht="18.75" x14ac:dyDescent="0.3">
      <c r="A1" s="22" t="s">
        <v>223</v>
      </c>
      <c r="B1" s="21"/>
      <c r="C1" s="21"/>
      <c r="D1" s="21"/>
      <c r="E1" s="21"/>
    </row>
    <row r="2" spans="1:5" x14ac:dyDescent="0.25">
      <c r="A2" s="38" t="s">
        <v>224</v>
      </c>
      <c r="B2" s="21"/>
      <c r="C2" s="21"/>
      <c r="D2" s="21"/>
      <c r="E2" s="21"/>
    </row>
    <row r="4" spans="1:5" x14ac:dyDescent="0.25">
      <c r="A4" s="3" t="s">
        <v>3</v>
      </c>
      <c r="B4" s="3" t="s">
        <v>225</v>
      </c>
      <c r="C4" s="3" t="s">
        <v>226</v>
      </c>
      <c r="D4" s="3" t="s">
        <v>227</v>
      </c>
      <c r="E4" s="3" t="s">
        <v>228</v>
      </c>
    </row>
    <row r="5" spans="1:5" ht="45" x14ac:dyDescent="0.25">
      <c r="A5" s="4" t="s">
        <v>14</v>
      </c>
      <c r="B5" s="4" t="s">
        <v>229</v>
      </c>
      <c r="C5" s="8" t="s">
        <v>230</v>
      </c>
      <c r="D5" s="4" t="s">
        <v>231</v>
      </c>
      <c r="E5" s="4" t="s">
        <v>232</v>
      </c>
    </row>
    <row r="6" spans="1:5" ht="30" x14ac:dyDescent="0.25">
      <c r="A6" s="4" t="s">
        <v>14</v>
      </c>
      <c r="B6" s="4" t="s">
        <v>233</v>
      </c>
      <c r="C6" s="8" t="s">
        <v>230</v>
      </c>
      <c r="D6" s="4" t="s">
        <v>234</v>
      </c>
      <c r="E6" s="4" t="s">
        <v>235</v>
      </c>
    </row>
    <row r="7" spans="1:5" ht="30" x14ac:dyDescent="0.25">
      <c r="A7" s="4" t="s">
        <v>14</v>
      </c>
      <c r="B7" s="4" t="s">
        <v>236</v>
      </c>
      <c r="C7" s="8" t="s">
        <v>230</v>
      </c>
      <c r="D7" s="4" t="s">
        <v>237</v>
      </c>
      <c r="E7" s="4" t="s">
        <v>238</v>
      </c>
    </row>
    <row r="8" spans="1:5" ht="45" x14ac:dyDescent="0.25">
      <c r="A8" s="4" t="s">
        <v>239</v>
      </c>
      <c r="B8" s="4" t="s">
        <v>240</v>
      </c>
      <c r="C8" s="8" t="s">
        <v>230</v>
      </c>
      <c r="D8" s="4" t="s">
        <v>241</v>
      </c>
      <c r="E8" s="4" t="s">
        <v>242</v>
      </c>
    </row>
    <row r="9" spans="1:5" ht="30" x14ac:dyDescent="0.25">
      <c r="A9" s="4" t="s">
        <v>239</v>
      </c>
      <c r="B9" s="4" t="s">
        <v>243</v>
      </c>
      <c r="C9" s="8" t="s">
        <v>230</v>
      </c>
      <c r="D9" s="4" t="s">
        <v>244</v>
      </c>
      <c r="E9" s="4" t="s">
        <v>245</v>
      </c>
    </row>
    <row r="10" spans="1:5" ht="30" x14ac:dyDescent="0.25">
      <c r="A10" s="4" t="s">
        <v>239</v>
      </c>
      <c r="B10" s="4" t="s">
        <v>246</v>
      </c>
      <c r="C10" s="8" t="s">
        <v>230</v>
      </c>
      <c r="D10" s="4" t="s">
        <v>247</v>
      </c>
      <c r="E10" s="4" t="s">
        <v>248</v>
      </c>
    </row>
    <row r="11" spans="1:5" ht="30" x14ac:dyDescent="0.25">
      <c r="A11" s="4" t="s">
        <v>249</v>
      </c>
      <c r="B11" s="4" t="s">
        <v>250</v>
      </c>
      <c r="C11" s="8" t="s">
        <v>230</v>
      </c>
      <c r="D11" s="4" t="s">
        <v>251</v>
      </c>
      <c r="E11" s="4" t="s">
        <v>252</v>
      </c>
    </row>
    <row r="12" spans="1:5" ht="30" x14ac:dyDescent="0.25">
      <c r="A12" s="4" t="s">
        <v>249</v>
      </c>
      <c r="B12" s="4" t="s">
        <v>253</v>
      </c>
      <c r="C12" s="8" t="s">
        <v>230</v>
      </c>
      <c r="D12" s="4" t="s">
        <v>254</v>
      </c>
      <c r="E12" s="4" t="s">
        <v>255</v>
      </c>
    </row>
    <row r="13" spans="1:5" ht="30" x14ac:dyDescent="0.25">
      <c r="A13" s="4" t="s">
        <v>249</v>
      </c>
      <c r="B13" s="4" t="s">
        <v>256</v>
      </c>
      <c r="C13" s="8" t="s">
        <v>230</v>
      </c>
      <c r="D13" s="4" t="s">
        <v>257</v>
      </c>
      <c r="E13" s="4" t="s">
        <v>258</v>
      </c>
    </row>
    <row r="14" spans="1:5" ht="30" x14ac:dyDescent="0.25">
      <c r="A14" s="4" t="s">
        <v>249</v>
      </c>
      <c r="B14" s="4" t="s">
        <v>259</v>
      </c>
      <c r="C14" s="8" t="s">
        <v>230</v>
      </c>
      <c r="D14" s="4" t="s">
        <v>260</v>
      </c>
      <c r="E14" s="4" t="s">
        <v>261</v>
      </c>
    </row>
    <row r="15" spans="1:5" ht="30" x14ac:dyDescent="0.25">
      <c r="A15" s="4" t="s">
        <v>249</v>
      </c>
      <c r="B15" s="4" t="s">
        <v>262</v>
      </c>
      <c r="C15" s="8" t="s">
        <v>230</v>
      </c>
      <c r="D15" s="4" t="s">
        <v>263</v>
      </c>
      <c r="E15" s="4" t="s">
        <v>264</v>
      </c>
    </row>
    <row r="16" spans="1:5" ht="30" x14ac:dyDescent="0.25">
      <c r="A16" s="4" t="s">
        <v>265</v>
      </c>
      <c r="B16" s="4" t="s">
        <v>266</v>
      </c>
      <c r="C16" s="8" t="s">
        <v>230</v>
      </c>
      <c r="D16" s="4" t="s">
        <v>267</v>
      </c>
      <c r="E16" s="4" t="s">
        <v>268</v>
      </c>
    </row>
    <row r="17" spans="1:5" ht="30" x14ac:dyDescent="0.25">
      <c r="A17" s="4" t="s">
        <v>265</v>
      </c>
      <c r="B17" s="4" t="s">
        <v>269</v>
      </c>
      <c r="C17" s="8" t="s">
        <v>230</v>
      </c>
      <c r="D17" s="4" t="s">
        <v>270</v>
      </c>
      <c r="E17" s="4" t="s">
        <v>271</v>
      </c>
    </row>
    <row r="18" spans="1:5" ht="30" x14ac:dyDescent="0.25">
      <c r="A18" s="4" t="s">
        <v>14</v>
      </c>
      <c r="B18" s="4" t="s">
        <v>272</v>
      </c>
      <c r="C18" s="8" t="s">
        <v>230</v>
      </c>
      <c r="D18" s="4" t="s">
        <v>273</v>
      </c>
      <c r="E18" s="4" t="s">
        <v>274</v>
      </c>
    </row>
    <row r="19" spans="1:5" ht="30" x14ac:dyDescent="0.25">
      <c r="A19" s="4" t="s">
        <v>275</v>
      </c>
      <c r="B19" s="4" t="s">
        <v>276</v>
      </c>
      <c r="C19" s="8" t="s">
        <v>230</v>
      </c>
      <c r="D19" s="4" t="s">
        <v>277</v>
      </c>
      <c r="E19" s="4" t="s">
        <v>278</v>
      </c>
    </row>
    <row r="20" spans="1:5" ht="30" x14ac:dyDescent="0.25">
      <c r="A20" s="4" t="s">
        <v>275</v>
      </c>
      <c r="B20" s="4" t="s">
        <v>279</v>
      </c>
      <c r="C20" s="8" t="s">
        <v>230</v>
      </c>
      <c r="D20" s="4" t="s">
        <v>280</v>
      </c>
      <c r="E20" s="4" t="s">
        <v>281</v>
      </c>
    </row>
    <row r="22" spans="1:5" x14ac:dyDescent="0.25">
      <c r="A22" s="29" t="s">
        <v>282</v>
      </c>
      <c r="B22" s="21"/>
      <c r="C22" s="21"/>
      <c r="D22" s="21"/>
      <c r="E22" s="21"/>
    </row>
  </sheetData>
  <mergeCells count="3">
    <mergeCell ref="A2:E2"/>
    <mergeCell ref="A22:E22"/>
    <mergeCell ref="A1:E1"/>
  </mergeCells>
  <hyperlinks>
    <hyperlink ref="C5" r:id="rId1" xr:uid="{00000000-0004-0000-0200-000000000000}"/>
    <hyperlink ref="C6" r:id="rId2" xr:uid="{00000000-0004-0000-0200-000001000000}"/>
    <hyperlink ref="C7" r:id="rId3" xr:uid="{00000000-0004-0000-0200-000002000000}"/>
    <hyperlink ref="C8" r:id="rId4" xr:uid="{00000000-0004-0000-0200-000003000000}"/>
    <hyperlink ref="C9" r:id="rId5" xr:uid="{00000000-0004-0000-0200-000004000000}"/>
    <hyperlink ref="C10" r:id="rId6" xr:uid="{00000000-0004-0000-0200-000005000000}"/>
    <hyperlink ref="C11" r:id="rId7" xr:uid="{00000000-0004-0000-0200-000006000000}"/>
    <hyperlink ref="C12" r:id="rId8" xr:uid="{00000000-0004-0000-0200-000007000000}"/>
    <hyperlink ref="C13" r:id="rId9" xr:uid="{00000000-0004-0000-0200-000008000000}"/>
    <hyperlink ref="C14" r:id="rId10" xr:uid="{00000000-0004-0000-0200-000009000000}"/>
    <hyperlink ref="C15" r:id="rId11" xr:uid="{00000000-0004-0000-0200-00000A000000}"/>
    <hyperlink ref="C16" r:id="rId12" xr:uid="{00000000-0004-0000-0200-00000B000000}"/>
    <hyperlink ref="C17" r:id="rId13" xr:uid="{00000000-0004-0000-0200-00000C000000}"/>
    <hyperlink ref="C18" r:id="rId14" xr:uid="{00000000-0004-0000-0200-00000D000000}"/>
    <hyperlink ref="C19" r:id="rId15" xr:uid="{00000000-0004-0000-0200-00000E000000}"/>
    <hyperlink ref="C20" r:id="rId16" xr:uid="{00000000-0004-0000-0200-00000F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zoomScale="90" zoomScaleNormal="90" workbookViewId="0">
      <selection sqref="A1:E1"/>
    </sheetView>
  </sheetViews>
  <sheetFormatPr defaultRowHeight="15" x14ac:dyDescent="0.25"/>
  <cols>
    <col min="1" max="1" width="12" customWidth="1"/>
    <col min="2" max="2" width="8" customWidth="1"/>
    <col min="3" max="3" width="12" customWidth="1"/>
    <col min="4" max="4" width="36" customWidth="1"/>
    <col min="5" max="5" width="14" customWidth="1"/>
  </cols>
  <sheetData>
    <row r="1" spans="1:5" ht="18" customHeight="1" x14ac:dyDescent="0.25">
      <c r="A1" s="44" t="s">
        <v>283</v>
      </c>
      <c r="B1" s="21"/>
      <c r="C1" s="21"/>
      <c r="D1" s="21"/>
      <c r="E1" s="21"/>
    </row>
    <row r="2" spans="1:5" ht="15.95" customHeight="1" x14ac:dyDescent="0.25">
      <c r="A2" s="16" t="s">
        <v>284</v>
      </c>
      <c r="B2" s="17" t="s">
        <v>285</v>
      </c>
      <c r="C2" s="17" t="s">
        <v>286</v>
      </c>
      <c r="D2" s="17" t="s">
        <v>256</v>
      </c>
      <c r="E2" s="17" t="s">
        <v>246</v>
      </c>
    </row>
    <row r="3" spans="1:5" ht="68.099999999999994" customHeight="1" x14ac:dyDescent="0.25">
      <c r="A3" s="43" t="s">
        <v>287</v>
      </c>
      <c r="B3" s="21"/>
      <c r="C3" s="43" t="s">
        <v>288</v>
      </c>
      <c r="D3" s="21"/>
      <c r="E3" s="21"/>
    </row>
    <row r="4" spans="1:5" ht="14.45" customHeight="1" x14ac:dyDescent="0.25">
      <c r="A4" s="3" t="s">
        <v>289</v>
      </c>
      <c r="B4" s="3" t="s">
        <v>290</v>
      </c>
      <c r="C4" s="3" t="s">
        <v>82</v>
      </c>
      <c r="D4" s="3" t="s">
        <v>291</v>
      </c>
      <c r="E4" s="3" t="s">
        <v>50</v>
      </c>
    </row>
    <row r="5" spans="1:5" ht="14.45" customHeight="1" x14ac:dyDescent="0.25">
      <c r="A5" s="4" t="s">
        <v>292</v>
      </c>
      <c r="B5" s="4" t="s">
        <v>293</v>
      </c>
      <c r="C5" s="4" t="s">
        <v>294</v>
      </c>
      <c r="D5" s="4" t="s">
        <v>295</v>
      </c>
      <c r="E5" s="18" t="s">
        <v>50</v>
      </c>
    </row>
    <row r="6" spans="1:5" ht="14.45" customHeight="1" x14ac:dyDescent="0.25">
      <c r="A6" s="4" t="s">
        <v>296</v>
      </c>
      <c r="B6" s="4" t="s">
        <v>293</v>
      </c>
      <c r="C6" s="4" t="s">
        <v>294</v>
      </c>
      <c r="D6" s="4" t="s">
        <v>295</v>
      </c>
      <c r="E6" s="18" t="s">
        <v>50</v>
      </c>
    </row>
    <row r="7" spans="1:5" ht="14.45" customHeight="1" x14ac:dyDescent="0.25">
      <c r="A7" s="4" t="s">
        <v>297</v>
      </c>
      <c r="B7" s="4" t="s">
        <v>293</v>
      </c>
      <c r="C7" s="4" t="s">
        <v>294</v>
      </c>
      <c r="D7" s="4" t="s">
        <v>295</v>
      </c>
      <c r="E7" s="18" t="s">
        <v>50</v>
      </c>
    </row>
    <row r="8" spans="1:5" ht="14.45" customHeight="1" x14ac:dyDescent="0.25">
      <c r="A8" s="4" t="s">
        <v>298</v>
      </c>
      <c r="B8" s="4" t="s">
        <v>293</v>
      </c>
      <c r="C8" s="4" t="s">
        <v>294</v>
      </c>
      <c r="D8" s="4" t="s">
        <v>295</v>
      </c>
      <c r="E8" s="18" t="s">
        <v>50</v>
      </c>
    </row>
    <row r="9" spans="1:5" ht="14.45" customHeight="1" x14ac:dyDescent="0.25">
      <c r="A9" s="4" t="s">
        <v>149</v>
      </c>
      <c r="B9" s="4" t="s">
        <v>149</v>
      </c>
      <c r="C9" s="4" t="s">
        <v>149</v>
      </c>
      <c r="D9" s="4" t="s">
        <v>299</v>
      </c>
      <c r="E9" s="4"/>
    </row>
    <row r="10" spans="1:5" ht="14.45" customHeight="1" x14ac:dyDescent="0.25">
      <c r="A10" s="4" t="s">
        <v>300</v>
      </c>
      <c r="B10" s="4" t="s">
        <v>293</v>
      </c>
      <c r="C10" s="4" t="s">
        <v>294</v>
      </c>
      <c r="D10" s="4" t="s">
        <v>301</v>
      </c>
      <c r="E10" s="18" t="s">
        <v>50</v>
      </c>
    </row>
    <row r="11" spans="1:5" ht="14.45" customHeight="1" x14ac:dyDescent="0.25">
      <c r="A11" s="4" t="s">
        <v>149</v>
      </c>
      <c r="B11" s="4" t="s">
        <v>149</v>
      </c>
      <c r="C11" s="4" t="s">
        <v>149</v>
      </c>
      <c r="D11" s="4" t="s">
        <v>302</v>
      </c>
      <c r="E11" s="4"/>
    </row>
    <row r="12" spans="1:5" ht="14.45" customHeight="1" x14ac:dyDescent="0.25">
      <c r="A12" s="4" t="s">
        <v>303</v>
      </c>
      <c r="B12" s="4" t="s">
        <v>293</v>
      </c>
      <c r="C12" s="4" t="s">
        <v>294</v>
      </c>
      <c r="D12" s="4" t="s">
        <v>304</v>
      </c>
      <c r="E12" s="18" t="s">
        <v>50</v>
      </c>
    </row>
    <row r="13" spans="1:5" ht="14.45" customHeight="1" x14ac:dyDescent="0.25">
      <c r="A13" s="4" t="s">
        <v>305</v>
      </c>
      <c r="B13" s="4" t="s">
        <v>293</v>
      </c>
      <c r="C13" s="4" t="s">
        <v>294</v>
      </c>
      <c r="D13" s="4" t="s">
        <v>295</v>
      </c>
      <c r="E13" s="18" t="s">
        <v>50</v>
      </c>
    </row>
    <row r="14" spans="1:5" ht="14.45" customHeight="1" x14ac:dyDescent="0.25">
      <c r="A14" s="4" t="s">
        <v>306</v>
      </c>
      <c r="B14" s="4" t="s">
        <v>293</v>
      </c>
      <c r="C14" s="4" t="s">
        <v>294</v>
      </c>
      <c r="D14" s="4" t="s">
        <v>295</v>
      </c>
      <c r="E14" s="18" t="s">
        <v>50</v>
      </c>
    </row>
    <row r="15" spans="1:5" ht="14.45" customHeight="1" x14ac:dyDescent="0.25">
      <c r="A15" s="4" t="s">
        <v>307</v>
      </c>
      <c r="B15" s="4" t="s">
        <v>293</v>
      </c>
      <c r="C15" s="4" t="s">
        <v>294</v>
      </c>
      <c r="D15" s="4" t="s">
        <v>308</v>
      </c>
      <c r="E15" s="18" t="s">
        <v>50</v>
      </c>
    </row>
    <row r="16" spans="1:5" ht="14.45" customHeight="1" x14ac:dyDescent="0.25">
      <c r="A16" s="4" t="s">
        <v>309</v>
      </c>
      <c r="B16" s="4" t="s">
        <v>310</v>
      </c>
      <c r="C16" s="4" t="s">
        <v>311</v>
      </c>
      <c r="D16" s="4" t="s">
        <v>312</v>
      </c>
      <c r="E16" s="18" t="s">
        <v>50</v>
      </c>
    </row>
    <row r="17" spans="1:5" ht="15.95" customHeight="1" x14ac:dyDescent="0.25">
      <c r="A17" s="42" t="s">
        <v>313</v>
      </c>
      <c r="B17" s="21"/>
      <c r="C17" s="21"/>
      <c r="D17" s="21"/>
      <c r="E17" s="21"/>
    </row>
  </sheetData>
  <mergeCells count="4">
    <mergeCell ref="A17:E17"/>
    <mergeCell ref="A3:B3"/>
    <mergeCell ref="A1:E1"/>
    <mergeCell ref="C3:E3"/>
  </mergeCells>
  <hyperlinks>
    <hyperlink ref="B2" r:id="rId1" xr:uid="{00000000-0004-0000-0300-000000000000}"/>
    <hyperlink ref="C2" r:id="rId2" xr:uid="{00000000-0004-0000-0300-000001000000}"/>
    <hyperlink ref="D2" r:id="rId3" xr:uid="{00000000-0004-0000-0300-000002000000}"/>
    <hyperlink ref="E2" r:id="rId4" xr:uid="{00000000-0004-0000-0300-000003000000}"/>
    <hyperlink ref="E5" r:id="rId5" xr:uid="{00000000-0004-0000-0300-000004000000}"/>
    <hyperlink ref="E6" r:id="rId6" xr:uid="{00000000-0004-0000-0300-000005000000}"/>
    <hyperlink ref="E7" r:id="rId7" xr:uid="{00000000-0004-0000-0300-000006000000}"/>
    <hyperlink ref="E8" r:id="rId8" xr:uid="{00000000-0004-0000-0300-000007000000}"/>
    <hyperlink ref="E10" r:id="rId9" xr:uid="{00000000-0004-0000-0300-000008000000}"/>
    <hyperlink ref="E12" r:id="rId10" xr:uid="{00000000-0004-0000-0300-000009000000}"/>
    <hyperlink ref="E13" r:id="rId11" xr:uid="{00000000-0004-0000-0300-00000A000000}"/>
    <hyperlink ref="E14" r:id="rId12" xr:uid="{00000000-0004-0000-0300-00000B000000}"/>
    <hyperlink ref="E15" r:id="rId13" xr:uid="{00000000-0004-0000-0300-00000C000000}"/>
    <hyperlink ref="E16" r:id="rId14" xr:uid="{00000000-0004-0000-0300-00000D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topLeftCell="A13" workbookViewId="0">
      <selection activeCell="B27" sqref="B27"/>
    </sheetView>
  </sheetViews>
  <sheetFormatPr defaultRowHeight="15" x14ac:dyDescent="0.25"/>
  <cols>
    <col min="1" max="1" width="32" customWidth="1"/>
    <col min="2" max="2" width="18" customWidth="1"/>
    <col min="3" max="3" width="50" customWidth="1"/>
  </cols>
  <sheetData>
    <row r="1" spans="1:3" ht="18.75" x14ac:dyDescent="0.3">
      <c r="A1" s="45" t="s">
        <v>314</v>
      </c>
      <c r="B1" s="21"/>
      <c r="C1" s="21"/>
    </row>
    <row r="3" spans="1:3" x14ac:dyDescent="0.25">
      <c r="A3" s="3" t="s">
        <v>315</v>
      </c>
      <c r="B3" s="3" t="s">
        <v>316</v>
      </c>
      <c r="C3" s="3" t="s">
        <v>317</v>
      </c>
    </row>
    <row r="4" spans="1:3" x14ac:dyDescent="0.25">
      <c r="A4" s="4" t="s">
        <v>229</v>
      </c>
      <c r="B4" s="4" t="s">
        <v>318</v>
      </c>
      <c r="C4" s="8" t="s">
        <v>319</v>
      </c>
    </row>
    <row r="5" spans="1:3" x14ac:dyDescent="0.25">
      <c r="A5" s="4" t="s">
        <v>233</v>
      </c>
      <c r="B5" s="4" t="s">
        <v>320</v>
      </c>
      <c r="C5" s="8" t="s">
        <v>319</v>
      </c>
    </row>
    <row r="6" spans="1:3" x14ac:dyDescent="0.25">
      <c r="A6" s="4" t="s">
        <v>321</v>
      </c>
      <c r="B6" s="4" t="s">
        <v>322</v>
      </c>
      <c r="C6" s="8" t="s">
        <v>323</v>
      </c>
    </row>
    <row r="7" spans="1:3" x14ac:dyDescent="0.25">
      <c r="A7" s="4" t="s">
        <v>324</v>
      </c>
      <c r="B7" s="4" t="s">
        <v>325</v>
      </c>
      <c r="C7" s="8" t="s">
        <v>323</v>
      </c>
    </row>
    <row r="8" spans="1:3" x14ac:dyDescent="0.25">
      <c r="A8" s="4" t="s">
        <v>326</v>
      </c>
      <c r="B8" s="4" t="s">
        <v>327</v>
      </c>
      <c r="C8" s="8" t="s">
        <v>328</v>
      </c>
    </row>
    <row r="9" spans="1:3" x14ac:dyDescent="0.25">
      <c r="A9" s="4" t="s">
        <v>329</v>
      </c>
      <c r="B9" s="4" t="s">
        <v>330</v>
      </c>
      <c r="C9" s="8" t="s">
        <v>328</v>
      </c>
    </row>
    <row r="10" spans="1:3" x14ac:dyDescent="0.25">
      <c r="A10" s="4" t="s">
        <v>331</v>
      </c>
      <c r="B10" s="4" t="s">
        <v>332</v>
      </c>
      <c r="C10" s="8" t="s">
        <v>328</v>
      </c>
    </row>
    <row r="11" spans="1:3" x14ac:dyDescent="0.25">
      <c r="A11" s="4" t="s">
        <v>256</v>
      </c>
      <c r="B11" s="4" t="s">
        <v>333</v>
      </c>
      <c r="C11" s="8" t="s">
        <v>334</v>
      </c>
    </row>
    <row r="12" spans="1:3" x14ac:dyDescent="0.25">
      <c r="A12" s="4" t="s">
        <v>335</v>
      </c>
      <c r="B12" s="4" t="s">
        <v>336</v>
      </c>
      <c r="C12" s="8" t="s">
        <v>337</v>
      </c>
    </row>
    <row r="13" spans="1:3" x14ac:dyDescent="0.25">
      <c r="A13" s="4" t="s">
        <v>338</v>
      </c>
      <c r="B13" s="4" t="s">
        <v>339</v>
      </c>
      <c r="C13" s="4" t="s">
        <v>149</v>
      </c>
    </row>
    <row r="14" spans="1:3" x14ac:dyDescent="0.25">
      <c r="A14" s="4" t="s">
        <v>340</v>
      </c>
      <c r="B14" s="4" t="s">
        <v>341</v>
      </c>
      <c r="C14" s="4" t="s">
        <v>149</v>
      </c>
    </row>
    <row r="17" spans="1:3" ht="15.75" x14ac:dyDescent="0.25">
      <c r="A17" s="46" t="s">
        <v>342</v>
      </c>
      <c r="B17" s="21"/>
      <c r="C17" s="21"/>
    </row>
    <row r="18" spans="1:3" x14ac:dyDescent="0.25">
      <c r="A18" s="21" t="s">
        <v>343</v>
      </c>
      <c r="B18" s="21"/>
      <c r="C18" s="21"/>
    </row>
    <row r="19" spans="1:3" x14ac:dyDescent="0.25">
      <c r="A19" s="21" t="s">
        <v>344</v>
      </c>
      <c r="B19" s="21"/>
      <c r="C19" s="21"/>
    </row>
    <row r="20" spans="1:3" x14ac:dyDescent="0.25">
      <c r="A20" s="21" t="s">
        <v>345</v>
      </c>
      <c r="B20" s="21"/>
      <c r="C20" s="21"/>
    </row>
    <row r="21" spans="1:3" x14ac:dyDescent="0.25">
      <c r="A21" s="21" t="s">
        <v>346</v>
      </c>
      <c r="B21" s="21"/>
      <c r="C21" s="21"/>
    </row>
    <row r="22" spans="1:3" x14ac:dyDescent="0.25">
      <c r="A22" s="21" t="s">
        <v>347</v>
      </c>
      <c r="B22" s="21"/>
      <c r="C22" s="21"/>
    </row>
    <row r="23" spans="1:3" x14ac:dyDescent="0.25">
      <c r="A23" s="21" t="s">
        <v>348</v>
      </c>
      <c r="B23" s="21"/>
      <c r="C23" s="21"/>
    </row>
    <row r="24" spans="1:3" x14ac:dyDescent="0.25">
      <c r="A24" s="21" t="s">
        <v>349</v>
      </c>
      <c r="B24" s="21"/>
      <c r="C24" s="21"/>
    </row>
    <row r="25" spans="1:3" x14ac:dyDescent="0.25">
      <c r="A25" s="21" t="s">
        <v>350</v>
      </c>
      <c r="B25" s="21"/>
      <c r="C25" s="21"/>
    </row>
    <row r="27" spans="1:3" x14ac:dyDescent="0.25">
      <c r="A27" s="19" t="s">
        <v>351</v>
      </c>
      <c r="B27" s="6">
        <f>CambioEUR</f>
        <v>0</v>
      </c>
      <c r="C27" s="4" t="s">
        <v>352</v>
      </c>
    </row>
    <row r="28" spans="1:3" x14ac:dyDescent="0.25">
      <c r="A28" s="19" t="s">
        <v>353</v>
      </c>
      <c r="B28" s="5">
        <f>'Custos da Viagem'!F29</f>
        <v>703.6</v>
      </c>
      <c r="C28" s="4"/>
    </row>
    <row r="29" spans="1:3" x14ac:dyDescent="0.25">
      <c r="A29" s="19" t="s">
        <v>354</v>
      </c>
      <c r="B29" s="7">
        <f>'Custos da Viagem'!H29</f>
        <v>4362.32</v>
      </c>
      <c r="C29" s="4"/>
    </row>
  </sheetData>
  <mergeCells count="10">
    <mergeCell ref="A25:C25"/>
    <mergeCell ref="A19:C19"/>
    <mergeCell ref="A1:C1"/>
    <mergeCell ref="A23:C23"/>
    <mergeCell ref="A22:C22"/>
    <mergeCell ref="A17:C17"/>
    <mergeCell ref="A18:C18"/>
    <mergeCell ref="A21:C21"/>
    <mergeCell ref="A20:C20"/>
    <mergeCell ref="A24:C24"/>
  </mergeCells>
  <hyperlinks>
    <hyperlink ref="C4" r:id="rId1" xr:uid="{00000000-0004-0000-0400-000000000000}"/>
    <hyperlink ref="C5" r:id="rId2" xr:uid="{00000000-0004-0000-0400-000001000000}"/>
    <hyperlink ref="C6" r:id="rId3" xr:uid="{00000000-0004-0000-0400-000002000000}"/>
    <hyperlink ref="C7" r:id="rId4" xr:uid="{00000000-0004-0000-0400-000003000000}"/>
    <hyperlink ref="C8" r:id="rId5" xr:uid="{00000000-0004-0000-0400-000004000000}"/>
    <hyperlink ref="C9" r:id="rId6" xr:uid="{00000000-0004-0000-0400-000005000000}"/>
    <hyperlink ref="C10" r:id="rId7" xr:uid="{00000000-0004-0000-0400-000006000000}"/>
    <hyperlink ref="C11" r:id="rId8" xr:uid="{00000000-0004-0000-0400-000007000000}"/>
    <hyperlink ref="C12" r:id="rId9" xr:uid="{00000000-0004-0000-04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Custos da Viagem</vt:lpstr>
      <vt:lpstr>Roteiro 5 Dias</vt:lpstr>
      <vt:lpstr>Links e Reservas</vt:lpstr>
      <vt:lpstr>Louvre Grátis</vt:lpstr>
      <vt:lpstr>Resumo e Dicas</vt:lpstr>
      <vt:lpstr>CambioEUR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Miranda</cp:lastModifiedBy>
  <dcterms:created xsi:type="dcterms:W3CDTF">2026-08-16T14:57:42Z</dcterms:created>
  <dcterms:modified xsi:type="dcterms:W3CDTF">2026-08-16T15:00:53Z</dcterms:modified>
</cp:coreProperties>
</file>